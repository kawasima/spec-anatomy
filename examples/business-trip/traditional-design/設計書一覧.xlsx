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745" yWindow="1875" windowWidth="28800" windowHeight="15435" tabRatio="822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変更履歴" sheetId="2" state="visible" r:id="rId2"/>
    <sheet xmlns:r="http://schemas.openxmlformats.org/officeDocument/2006/relationships" name="目次" sheetId="3" state="visible" r:id="rId3"/>
    <sheet xmlns:r="http://schemas.openxmlformats.org/officeDocument/2006/relationships" name="1. 概要" sheetId="4" state="visible" r:id="rId4"/>
    <sheet xmlns:r="http://schemas.openxmlformats.org/officeDocument/2006/relationships" name="2.1. 設計書体系図" sheetId="5" state="visible" r:id="rId5"/>
    <sheet xmlns:r="http://schemas.openxmlformats.org/officeDocument/2006/relationships" name="2.2. 設計書一覧" sheetId="6" state="visible" r:id="rId6"/>
    <sheet xmlns:r="http://schemas.openxmlformats.org/officeDocument/2006/relationships" name="3. 設計書とソースコードの対応" sheetId="7" state="visible" r:id="rId7"/>
  </sheets>
  <definedNames>
    <definedName name="_xlnm.Print_Area" localSheetId="0">'表紙'!$A$1:$S$39</definedName>
    <definedName name="_xlnm.Print_Titles" localSheetId="1">'変更履歴'!$1:$4</definedName>
    <definedName name="_xlnm.Print_Area" localSheetId="1">'変更履歴'!$A$1:$AI$39</definedName>
    <definedName name="_xlnm.Print_Titles" localSheetId="2">'目次'!$1:$4</definedName>
    <definedName name="_xlnm.Print_Area" localSheetId="2">'目次'!$A$1:$AI$36</definedName>
    <definedName name="_xlnm.Print_Titles" localSheetId="3">'1. 概要'!$1:$4</definedName>
    <definedName name="_xlnm.Print_Area" localSheetId="3">'1. 概要'!$A$1:$AI$36</definedName>
    <definedName name="_xlnm.Print_Titles" localSheetId="4">'2.1. 設計書体系図'!$1:$4</definedName>
    <definedName name="_xlnm.Print_Area" localSheetId="4">'2.1. 設計書体系図'!$A$1:$BA$72</definedName>
    <definedName name="_xlnm.Print_Titles" localSheetId="5">'2.2. 設計書一覧'!$1:$11</definedName>
    <definedName name="_xlnm.Print_Area" localSheetId="5">'2.2. 設計書一覧'!$A$1:$AQ$75</definedName>
    <definedName name="_xlnm.Print_Titles" localSheetId="6">'3. 設計書とソースコードの対応'!$1:$4</definedName>
    <definedName name="_xlnm.Print_Area" localSheetId="6">'3. 設計書とソースコードの対応'!$A$1:$AI$125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第&quot;0.00&quot;版&quot;"/>
    <numFmt numFmtId="165" formatCode="yyyy/mm/dd"/>
  </numFmts>
  <fonts count="41">
    <font>
      <name val="ＭＳ 明朝"/>
      <charset val="128"/>
      <family val="1"/>
      <sz val="9"/>
    </font>
    <font>
      <name val="ＭＳ Ｐゴシック"/>
      <charset val="128"/>
      <family val="2"/>
      <color theme="1"/>
      <sz val="11"/>
      <scheme val="minor"/>
    </font>
    <font>
      <name val="ＭＳ 明朝"/>
      <charset val="128"/>
      <family val="1"/>
      <sz val="9"/>
    </font>
    <font>
      <name val="ＭＳ Ｐゴシック"/>
      <charset val="128"/>
      <family val="3"/>
      <sz val="18"/>
    </font>
    <font>
      <name val="ＭＳ 明朝"/>
      <charset val="128"/>
      <family val="1"/>
      <sz val="11"/>
    </font>
    <font>
      <name val="ＭＳ 明朝"/>
      <charset val="128"/>
      <family val="1"/>
      <sz val="18"/>
    </font>
    <font>
      <name val="ＭＳ 明朝"/>
      <charset val="128"/>
      <family val="1"/>
      <sz val="16"/>
    </font>
    <font>
      <name val="ＭＳ 明朝"/>
      <charset val="128"/>
      <family val="1"/>
      <sz val="14"/>
    </font>
    <font>
      <name val="ＭＳ 明朝"/>
      <charset val="128"/>
      <family val="1"/>
      <sz val="12"/>
    </font>
    <font>
      <name val="ＭＳ 明朝"/>
      <charset val="128"/>
      <family val="1"/>
      <sz val="10"/>
    </font>
    <font>
      <name val="ＭＳ 明朝"/>
      <charset val="128"/>
      <family val="1"/>
      <sz val="6"/>
    </font>
    <font>
      <name val="ＭＳ 明朝"/>
      <charset val="128"/>
      <family val="1"/>
      <sz val="13"/>
    </font>
    <font>
      <name val="ＭＳ Ｐゴシック"/>
      <charset val="128"/>
      <family val="3"/>
      <color indexed="8"/>
      <sz val="11"/>
    </font>
    <font>
      <name val="ＭＳ Ｐゴシック"/>
      <charset val="128"/>
      <family val="3"/>
      <color indexed="9"/>
      <sz val="11"/>
    </font>
    <font>
      <name val="ＭＳ Ｐゴシック"/>
      <charset val="128"/>
      <family val="3"/>
      <b val="1"/>
      <color indexed="56"/>
      <sz val="18"/>
    </font>
    <font>
      <name val="ＭＳ Ｐゴシック"/>
      <charset val="128"/>
      <family val="3"/>
      <b val="1"/>
      <color indexed="9"/>
      <sz val="11"/>
    </font>
    <font>
      <name val="ＭＳ Ｐゴシック"/>
      <charset val="128"/>
      <family val="3"/>
      <color indexed="60"/>
      <sz val="11"/>
    </font>
    <font>
      <name val="ＭＳ Ｐゴシック"/>
      <charset val="128"/>
      <family val="3"/>
      <sz val="10"/>
    </font>
    <font>
      <name val="ＭＳ Ｐゴシック"/>
      <charset val="128"/>
      <family val="3"/>
      <color indexed="52"/>
      <sz val="11"/>
    </font>
    <font>
      <name val="ＭＳ Ｐゴシック"/>
      <charset val="128"/>
      <family val="3"/>
      <color indexed="20"/>
      <sz val="11"/>
    </font>
    <font>
      <name val="ＭＳ Ｐゴシック"/>
      <charset val="128"/>
      <family val="3"/>
      <b val="1"/>
      <color indexed="52"/>
      <sz val="11"/>
    </font>
    <font>
      <name val="ＭＳ Ｐゴシック"/>
      <charset val="128"/>
      <family val="3"/>
      <color indexed="10"/>
      <sz val="11"/>
    </font>
    <font>
      <name val="ＭＳ Ｐゴシック"/>
      <charset val="128"/>
      <family val="3"/>
      <b val="1"/>
      <color indexed="56"/>
      <sz val="15"/>
    </font>
    <font>
      <name val="ＭＳ Ｐゴシック"/>
      <charset val="128"/>
      <family val="3"/>
      <b val="1"/>
      <color indexed="56"/>
      <sz val="13"/>
    </font>
    <font>
      <name val="ＭＳ Ｐゴシック"/>
      <charset val="128"/>
      <family val="3"/>
      <b val="1"/>
      <color indexed="56"/>
      <sz val="11"/>
    </font>
    <font>
      <name val="ＭＳ Ｐゴシック"/>
      <charset val="128"/>
      <family val="3"/>
      <b val="1"/>
      <color indexed="8"/>
      <sz val="11"/>
    </font>
    <font>
      <name val="ＭＳ Ｐゴシック"/>
      <charset val="128"/>
      <family val="3"/>
      <b val="1"/>
      <color indexed="63"/>
      <sz val="11"/>
    </font>
    <font>
      <name val="ＭＳ Ｐゴシック"/>
      <charset val="128"/>
      <family val="3"/>
      <i val="1"/>
      <color indexed="23"/>
      <sz val="11"/>
    </font>
    <font>
      <name val="ＭＳ Ｐゴシック"/>
      <charset val="128"/>
      <family val="3"/>
      <color indexed="62"/>
      <sz val="11"/>
    </font>
    <font>
      <name val="ＭＳ Ｐゴシック"/>
      <charset val="128"/>
      <family val="3"/>
      <color indexed="17"/>
      <sz val="11"/>
    </font>
    <font>
      <name val="ＭＳ Ｐゴシック"/>
      <charset val="128"/>
      <family val="3"/>
      <sz val="6"/>
    </font>
    <font>
      <name val="ＭＳ 明朝"/>
      <charset val="128"/>
      <family val="1"/>
      <b val="1"/>
      <sz val="9"/>
    </font>
    <font>
      <name val="ＭＳ 明朝"/>
      <charset val="128"/>
      <family val="1"/>
      <sz val="9"/>
    </font>
    <font>
      <name val="ＭＳ 明朝"/>
      <charset val="128"/>
      <family val="1"/>
      <color theme="1"/>
      <sz val="9"/>
    </font>
    <font>
      <name val="ＭＳ 明朝"/>
      <charset val="128"/>
      <family val="1"/>
      <sz val="20"/>
    </font>
    <font>
      <name val="ＭＳ ゴシック"/>
      <charset val="128"/>
      <family val="3"/>
      <sz val="10"/>
    </font>
    <font>
      <name val="ＭＳ 明朝"/>
      <charset val="128"/>
      <family val="1"/>
      <i val="1"/>
      <sz val="9"/>
    </font>
    <font>
      <name val="ＭＳ 明朝"/>
      <charset val="128"/>
      <family val="1"/>
      <color indexed="12"/>
      <sz val="9"/>
      <u val="single"/>
    </font>
    <font>
      <name val="ＭＳ 明朝"/>
      <charset val="128"/>
      <family val="1"/>
      <color indexed="55"/>
      <sz val="9"/>
    </font>
    <font>
      <name val="ＭＳ Ｐゴシック"/>
      <family val="2"/>
      <color theme="1"/>
      <sz val="11"/>
      <scheme val="minor"/>
    </font>
    <font>
      <name val="ＭＳ Ｐゴシック"/>
      <charset val="128"/>
      <family val="3"/>
      <sz val="11"/>
    </font>
  </fonts>
  <fills count="27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3499862666707358"/>
        <bgColor indexed="64"/>
      </patternFill>
    </fill>
  </fills>
  <borders count="32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52">
    <xf numFmtId="0" fontId="32" fillId="0" borderId="0"/>
    <xf numFmtId="0" fontId="12" fillId="2" borderId="0" applyAlignment="1">
      <alignment vertical="center"/>
    </xf>
    <xf numFmtId="0" fontId="12" fillId="3" borderId="0" applyAlignment="1">
      <alignment vertical="center"/>
    </xf>
    <xf numFmtId="0" fontId="12" fillId="4" borderId="0" applyAlignment="1">
      <alignment vertical="center"/>
    </xf>
    <xf numFmtId="0" fontId="12" fillId="5" borderId="0" applyAlignment="1">
      <alignment vertical="center"/>
    </xf>
    <xf numFmtId="0" fontId="12" fillId="6" borderId="0" applyAlignment="1">
      <alignment vertical="center"/>
    </xf>
    <xf numFmtId="0" fontId="12" fillId="7" borderId="0" applyAlignment="1">
      <alignment vertical="center"/>
    </xf>
    <xf numFmtId="0" fontId="12" fillId="8" borderId="0" applyAlignment="1">
      <alignment vertical="center"/>
    </xf>
    <xf numFmtId="0" fontId="12" fillId="9" borderId="0" applyAlignment="1">
      <alignment vertical="center"/>
    </xf>
    <xf numFmtId="0" fontId="12" fillId="10" borderId="0" applyAlignment="1">
      <alignment vertical="center"/>
    </xf>
    <xf numFmtId="0" fontId="12" fillId="5" borderId="0" applyAlignment="1">
      <alignment vertical="center"/>
    </xf>
    <xf numFmtId="0" fontId="12" fillId="8" borderId="0" applyAlignment="1">
      <alignment vertical="center"/>
    </xf>
    <xf numFmtId="0" fontId="12" fillId="11" borderId="0" applyAlignment="1">
      <alignment vertical="center"/>
    </xf>
    <xf numFmtId="0" fontId="13" fillId="12" borderId="0" applyAlignment="1">
      <alignment vertical="center"/>
    </xf>
    <xf numFmtId="0" fontId="13" fillId="9" borderId="0" applyAlignment="1">
      <alignment vertical="center"/>
    </xf>
    <xf numFmtId="0" fontId="13" fillId="10" borderId="0" applyAlignment="1">
      <alignment vertical="center"/>
    </xf>
    <xf numFmtId="0" fontId="13" fillId="13" borderId="0" applyAlignment="1">
      <alignment vertical="center"/>
    </xf>
    <xf numFmtId="0" fontId="13" fillId="14" borderId="0" applyAlignment="1">
      <alignment vertical="center"/>
    </xf>
    <xf numFmtId="0" fontId="13" fillId="15" borderId="0" applyAlignment="1">
      <alignment vertical="center"/>
    </xf>
    <xf numFmtId="0" fontId="13" fillId="16" borderId="0" applyAlignment="1">
      <alignment vertical="center"/>
    </xf>
    <xf numFmtId="0" fontId="13" fillId="17" borderId="0" applyAlignment="1">
      <alignment vertical="center"/>
    </xf>
    <xf numFmtId="0" fontId="13" fillId="18" borderId="0" applyAlignment="1">
      <alignment vertical="center"/>
    </xf>
    <xf numFmtId="0" fontId="13" fillId="13" borderId="0" applyAlignment="1">
      <alignment vertical="center"/>
    </xf>
    <xf numFmtId="0" fontId="13" fillId="14" borderId="0" applyAlignment="1">
      <alignment vertical="center"/>
    </xf>
    <xf numFmtId="0" fontId="13" fillId="19" borderId="0" applyAlignment="1">
      <alignment vertical="center"/>
    </xf>
    <xf numFmtId="0" fontId="14" fillId="0" borderId="0" applyAlignment="1">
      <alignment vertical="center"/>
    </xf>
    <xf numFmtId="0" fontId="15" fillId="20" borderId="1" applyAlignment="1">
      <alignment vertical="center"/>
    </xf>
    <xf numFmtId="0" fontId="16" fillId="21" borderId="0" applyAlignment="1">
      <alignment vertical="center"/>
    </xf>
    <xf numFmtId="0" fontId="17" fillId="22" borderId="2" applyAlignment="1">
      <alignment vertical="center"/>
    </xf>
    <xf numFmtId="0" fontId="18" fillId="0" borderId="3" applyAlignment="1">
      <alignment vertical="center"/>
    </xf>
    <xf numFmtId="0" fontId="19" fillId="3" borderId="0" applyAlignment="1">
      <alignment vertical="center"/>
    </xf>
    <xf numFmtId="0" fontId="20" fillId="23" borderId="4" applyAlignment="1">
      <alignment vertical="center"/>
    </xf>
    <xf numFmtId="0" fontId="21" fillId="0" borderId="0" applyAlignment="1">
      <alignment vertical="center"/>
    </xf>
    <xf numFmtId="0" fontId="22" fillId="0" borderId="5" applyAlignment="1">
      <alignment vertical="center"/>
    </xf>
    <xf numFmtId="0" fontId="23" fillId="0" borderId="6" applyAlignment="1">
      <alignment vertical="center"/>
    </xf>
    <xf numFmtId="0" fontId="24" fillId="0" borderId="7" applyAlignment="1">
      <alignment vertical="center"/>
    </xf>
    <xf numFmtId="0" fontId="24" fillId="0" borderId="0" applyAlignment="1">
      <alignment vertical="center"/>
    </xf>
    <xf numFmtId="0" fontId="25" fillId="0" borderId="8" applyAlignment="1">
      <alignment vertical="center"/>
    </xf>
    <xf numFmtId="0" fontId="26" fillId="23" borderId="9" applyAlignment="1">
      <alignment vertical="center"/>
    </xf>
    <xf numFmtId="0" fontId="27" fillId="0" borderId="0" applyAlignment="1">
      <alignment vertical="center"/>
    </xf>
    <xf numFmtId="0" fontId="28" fillId="7" borderId="4" applyAlignment="1">
      <alignment vertical="center"/>
    </xf>
    <xf numFmtId="0" fontId="32" fillId="0" borderId="0"/>
    <xf numFmtId="0" fontId="32" fillId="0" borderId="0"/>
    <xf numFmtId="0" fontId="29" fillId="4" borderId="0" applyAlignment="1">
      <alignment vertical="center"/>
    </xf>
    <xf numFmtId="0" fontId="32" fillId="0" borderId="0"/>
    <xf numFmtId="0" fontId="35" fillId="0" borderId="0"/>
    <xf numFmtId="0" fontId="37" fillId="0" borderId="0" applyAlignment="1" applyProtection="1">
      <alignment vertical="top"/>
      <protection locked="0" hidden="0"/>
    </xf>
    <xf numFmtId="9" fontId="32" fillId="0" borderId="0"/>
    <xf numFmtId="0" fontId="32" fillId="0" borderId="0"/>
    <xf numFmtId="0" fontId="39" fillId="0" borderId="0"/>
    <xf numFmtId="0" fontId="40" fillId="0" borderId="0" applyAlignment="1">
      <alignment vertical="center"/>
    </xf>
    <xf numFmtId="0" fontId="1" fillId="0" borderId="0" applyAlignment="1">
      <alignment vertical="center"/>
    </xf>
  </cellStyleXfs>
  <cellXfs count="226">
    <xf numFmtId="0" fontId="0" fillId="0" borderId="0" pivotButton="0" quotePrefix="0" xfId="0"/>
    <xf numFmtId="0" fontId="2" fillId="0" borderId="0" pivotButton="0" quotePrefix="0" xfId="41"/>
    <xf numFmtId="0" fontId="2" fillId="0" borderId="0" applyAlignment="1" pivotButton="0" quotePrefix="0" xfId="41">
      <alignment horizontal="right"/>
    </xf>
    <xf numFmtId="0" fontId="2" fillId="0" borderId="0" applyAlignment="1" pivotButton="0" quotePrefix="0" xfId="41">
      <alignment vertical="top"/>
    </xf>
    <xf numFmtId="0" fontId="7" fillId="0" borderId="0" pivotButton="0" quotePrefix="0" xfId="41"/>
    <xf numFmtId="164" fontId="7" fillId="0" borderId="0" applyAlignment="1" pivotButton="0" quotePrefix="1" xfId="41">
      <alignment horizontal="center"/>
    </xf>
    <xf numFmtId="0" fontId="2" fillId="0" borderId="0" pivotButton="0" quotePrefix="0" xfId="0"/>
    <xf numFmtId="14" fontId="2" fillId="0" borderId="0" applyAlignment="1" pivotButton="0" quotePrefix="0" xfId="41">
      <alignment horizontal="left" vertical="top"/>
    </xf>
    <xf numFmtId="165" fontId="2" fillId="0" borderId="0" applyAlignment="1" pivotButton="0" quotePrefix="0" xfId="0">
      <alignment horizontal="right"/>
    </xf>
    <xf numFmtId="0" fontId="2" fillId="0" borderId="0" applyAlignment="1" pivotButton="0" quotePrefix="0" xfId="42">
      <alignment horizontal="left" vertical="top"/>
    </xf>
    <xf numFmtId="0" fontId="32" fillId="0" borderId="0" pivotButton="0" quotePrefix="0" xfId="0"/>
    <xf numFmtId="0" fontId="2" fillId="0" borderId="26" applyAlignment="1" pivotButton="0" quotePrefix="0" xfId="0">
      <alignment horizontal="center" vertical="center"/>
    </xf>
    <xf numFmtId="0" fontId="2" fillId="0" borderId="0" applyAlignment="1" pivotButton="0" quotePrefix="0" xfId="41">
      <alignment horizontal="left" vertical="center"/>
    </xf>
    <xf numFmtId="0" fontId="2" fillId="0" borderId="20" applyAlignment="1" pivotButton="0" quotePrefix="0" xfId="0">
      <alignment horizontal="center" vertical="top"/>
    </xf>
    <xf numFmtId="0" fontId="2" fillId="0" borderId="0" applyAlignment="1" pivotButton="0" quotePrefix="1" xfId="41">
      <alignment vertical="center"/>
    </xf>
    <xf numFmtId="0" fontId="2" fillId="0" borderId="0" applyAlignment="1" pivotButton="0" quotePrefix="0" xfId="41">
      <alignment vertical="center"/>
    </xf>
    <xf numFmtId="0" fontId="2" fillId="0" borderId="19" applyAlignment="1" pivotButton="0" quotePrefix="0" xfId="0">
      <alignment horizontal="center" vertical="top"/>
    </xf>
    <xf numFmtId="0" fontId="2" fillId="0" borderId="0" applyAlignment="1" pivotButton="0" quotePrefix="0" xfId="41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34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31" fontId="6" fillId="0" borderId="0" pivotButton="0" quotePrefix="0" xfId="0"/>
    <xf numFmtId="0" fontId="11" fillId="0" borderId="0" applyAlignment="1" pivotButton="0" quotePrefix="0" xfId="45">
      <alignment horizontal="center"/>
    </xf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/>
    </xf>
    <xf numFmtId="0" fontId="0" fillId="0" borderId="0" applyAlignment="1" pivotButton="0" quotePrefix="0" xfId="41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41">
      <alignment horizontal="center"/>
    </xf>
    <xf numFmtId="0" fontId="8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8" fillId="0" borderId="0" applyAlignment="1" pivotButton="0" quotePrefix="1" xfId="0">
      <alignment horizontal="right" vertical="center"/>
    </xf>
    <xf numFmtId="0" fontId="36" fillId="0" borderId="0" applyAlignment="1" pivotButton="0" quotePrefix="0" xfId="0">
      <alignment horizontal="right" vertical="center"/>
    </xf>
    <xf numFmtId="0" fontId="2" fillId="0" borderId="0" applyAlignment="1" pivotButton="0" quotePrefix="0" xfId="46">
      <alignment horizontal="left" vertical="center"/>
    </xf>
    <xf numFmtId="0" fontId="2" fillId="0" borderId="0" applyAlignment="1" pivotButton="0" quotePrefix="1" xfId="0">
      <alignment horizontal="right" vertical="center"/>
    </xf>
    <xf numFmtId="0" fontId="0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2" fillId="0" borderId="0" applyAlignment="1" pivotButton="0" quotePrefix="1" xfId="0">
      <alignment horizontal="left" vertical="top"/>
    </xf>
    <xf numFmtId="0" fontId="7" fillId="0" borderId="0" applyAlignment="1" pivotButton="0" quotePrefix="0" xfId="0">
      <alignment horizontal="left" vertical="top"/>
    </xf>
    <xf numFmtId="0" fontId="36" fillId="0" borderId="0" applyAlignment="1" pivotButton="0" quotePrefix="0" xfId="0">
      <alignment horizontal="left" vertical="top"/>
    </xf>
    <xf numFmtId="0" fontId="2" fillId="0" borderId="0" applyAlignment="1" pivotButton="0" quotePrefix="0" xfId="46">
      <alignment horizontal="left" vertical="top"/>
    </xf>
    <xf numFmtId="0" fontId="31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38" fillId="0" borderId="0" applyAlignment="1" pivotButton="0" quotePrefix="1" xfId="0">
      <alignment horizontal="left" vertical="top"/>
    </xf>
    <xf numFmtId="0" fontId="2" fillId="0" borderId="0" applyAlignment="1" pivotButton="0" quotePrefix="0" xfId="46">
      <alignment horizontal="left" vertical="top"/>
    </xf>
    <xf numFmtId="0" fontId="2" fillId="0" borderId="0" pivotButton="0" quotePrefix="1" xfId="0"/>
    <xf numFmtId="0" fontId="2" fillId="24" borderId="13" pivotButton="0" quotePrefix="0" xfId="0"/>
    <xf numFmtId="0" fontId="2" fillId="24" borderId="14" pivotButton="0" quotePrefix="0" xfId="0"/>
    <xf numFmtId="0" fontId="2" fillId="24" borderId="15" pivotButton="0" quotePrefix="0" xfId="0"/>
    <xf numFmtId="0" fontId="2" fillId="24" borderId="13" applyAlignment="1" pivotButton="0" quotePrefix="0" xfId="0">
      <alignment vertical="top"/>
    </xf>
    <xf numFmtId="0" fontId="2" fillId="24" borderId="15" applyAlignment="1" pivotButton="0" quotePrefix="0" xfId="0">
      <alignment vertical="top"/>
    </xf>
    <xf numFmtId="0" fontId="2" fillId="24" borderId="24" pivotButton="0" quotePrefix="0" xfId="0"/>
    <xf numFmtId="0" fontId="2" fillId="24" borderId="0" pivotButton="0" quotePrefix="0" xfId="0"/>
    <xf numFmtId="0" fontId="2" fillId="24" borderId="25" pivotButton="0" quotePrefix="0" xfId="0"/>
    <xf numFmtId="0" fontId="2" fillId="24" borderId="24" applyAlignment="1" pivotButton="0" quotePrefix="0" xfId="0">
      <alignment vertical="top"/>
    </xf>
    <xf numFmtId="0" fontId="2" fillId="24" borderId="25" applyAlignment="1" pivotButton="0" quotePrefix="0" xfId="0">
      <alignment vertical="top"/>
    </xf>
    <xf numFmtId="0" fontId="2" fillId="25" borderId="13" pivotButton="0" quotePrefix="0" xfId="0"/>
    <xf numFmtId="0" fontId="2" fillId="25" borderId="14" pivotButton="0" quotePrefix="0" xfId="0"/>
    <xf numFmtId="0" fontId="2" fillId="25" borderId="15" pivotButton="0" quotePrefix="0" xfId="0"/>
    <xf numFmtId="0" fontId="2" fillId="25" borderId="10" pivotButton="0" quotePrefix="0" xfId="0"/>
    <xf numFmtId="0" fontId="2" fillId="25" borderId="12" pivotButton="0" quotePrefix="0" xfId="0"/>
    <xf numFmtId="0" fontId="2" fillId="25" borderId="11" pivotButton="0" quotePrefix="0" xfId="0"/>
    <xf numFmtId="0" fontId="2" fillId="25" borderId="16" pivotButton="0" quotePrefix="0" xfId="0"/>
    <xf numFmtId="0" fontId="2" fillId="25" borderId="17" pivotButton="0" quotePrefix="0" xfId="0"/>
    <xf numFmtId="0" fontId="2" fillId="0" borderId="11" pivotButton="0" quotePrefix="0" xfId="0"/>
    <xf numFmtId="0" fontId="2" fillId="0" borderId="12" pivotButton="0" quotePrefix="0" xfId="0"/>
    <xf numFmtId="0" fontId="2" fillId="25" borderId="24" pivotButton="0" quotePrefix="0" xfId="0"/>
    <xf numFmtId="0" fontId="2" fillId="0" borderId="10" pivotButton="0" quotePrefix="0" xfId="0"/>
    <xf numFmtId="0" fontId="2" fillId="25" borderId="27" pivotButton="0" quotePrefix="0" xfId="0"/>
    <xf numFmtId="0" fontId="2" fillId="25" borderId="19" pivotButton="0" quotePrefix="0" xfId="0"/>
    <xf numFmtId="0" fontId="2" fillId="0" borderId="10" applyAlignment="1" pivotButton="0" quotePrefix="0" xfId="0">
      <alignment horizontal="left"/>
    </xf>
    <xf numFmtId="0" fontId="2" fillId="25" borderId="10" applyAlignment="1" pivotButton="0" quotePrefix="0" xfId="0">
      <alignment horizontal="left"/>
    </xf>
    <xf numFmtId="0" fontId="0" fillId="0" borderId="10" pivotButton="0" quotePrefix="0" xfId="0"/>
    <xf numFmtId="0" fontId="0" fillId="0" borderId="10" pivotButton="0" quotePrefix="0" xfId="0"/>
    <xf numFmtId="0" fontId="2" fillId="0" borderId="0" pivotButton="0" quotePrefix="0" xfId="44"/>
    <xf numFmtId="0" fontId="2" fillId="26" borderId="20" pivotButton="0" quotePrefix="0" xfId="44"/>
    <xf numFmtId="0" fontId="2" fillId="26" borderId="10" pivotButton="0" quotePrefix="0" xfId="44"/>
    <xf numFmtId="0" fontId="2" fillId="26" borderId="11" pivotButton="0" quotePrefix="0" xfId="44"/>
    <xf numFmtId="0" fontId="2" fillId="26" borderId="12" pivotButton="0" quotePrefix="0" xfId="44"/>
    <xf numFmtId="0" fontId="2" fillId="0" borderId="24" pivotButton="0" quotePrefix="0" xfId="44"/>
    <xf numFmtId="0" fontId="2" fillId="0" borderId="10" pivotButton="0" quotePrefix="0" xfId="44"/>
    <xf numFmtId="0" fontId="2" fillId="0" borderId="11" pivotButton="0" quotePrefix="0" xfId="44"/>
    <xf numFmtId="0" fontId="2" fillId="0" borderId="10" applyAlignment="1" pivotButton="0" quotePrefix="0" xfId="0">
      <alignment vertical="center"/>
    </xf>
    <xf numFmtId="0" fontId="2" fillId="0" borderId="12" pivotButton="0" quotePrefix="0" xfId="44"/>
    <xf numFmtId="0" fontId="0" fillId="0" borderId="0" pivotButton="0" quotePrefix="0" xfId="44"/>
    <xf numFmtId="0" fontId="0" fillId="0" borderId="10" pivotButton="0" quotePrefix="0" xfId="44"/>
    <xf numFmtId="31" fontId="7" fillId="0" borderId="0" applyAlignment="1" pivotButton="0" quotePrefix="1" xfId="0">
      <alignment horizontal="center" vertical="center"/>
    </xf>
    <xf numFmtId="0" fontId="2" fillId="0" borderId="10" applyAlignment="1" pivotButton="0" quotePrefix="0" xfId="0">
      <alignment horizontal="center" vertical="top"/>
    </xf>
    <xf numFmtId="0" fontId="2" fillId="0" borderId="12" applyAlignment="1" pivotButton="0" quotePrefix="0" xfId="0">
      <alignment horizontal="center" vertical="top"/>
    </xf>
    <xf numFmtId="14" fontId="2" fillId="0" borderId="10" applyAlignment="1" pivotButton="0" quotePrefix="0" xfId="0">
      <alignment horizontal="center" vertical="top"/>
    </xf>
    <xf numFmtId="14" fontId="2" fillId="0" borderId="11" applyAlignment="1" pivotButton="0" quotePrefix="0" xfId="0">
      <alignment horizontal="center" vertical="top"/>
    </xf>
    <xf numFmtId="14" fontId="2" fillId="0" borderId="12" applyAlignment="1" pivotButton="0" quotePrefix="0" xfId="0">
      <alignment horizontal="center" vertical="top"/>
    </xf>
    <xf numFmtId="0" fontId="2" fillId="0" borderId="11" applyAlignment="1" pivotButton="0" quotePrefix="0" xfId="0">
      <alignment horizontal="center" vertical="top"/>
    </xf>
    <xf numFmtId="0" fontId="2" fillId="0" borderId="10" applyAlignment="1" pivotButton="0" quotePrefix="0" xfId="0">
      <alignment horizontal="left" vertical="top"/>
    </xf>
    <xf numFmtId="0" fontId="2" fillId="0" borderId="11" applyAlignment="1" pivotButton="0" quotePrefix="0" xfId="0">
      <alignment horizontal="left" vertical="top"/>
    </xf>
    <xf numFmtId="0" fontId="2" fillId="0" borderId="12" applyAlignment="1" pivotButton="0" quotePrefix="0" xfId="0">
      <alignment horizontal="left" vertical="top"/>
    </xf>
    <xf numFmtId="0" fontId="2" fillId="0" borderId="10" applyAlignment="1" pivotButton="0" quotePrefix="0" xfId="0">
      <alignment horizontal="left" vertical="top" wrapText="1"/>
    </xf>
    <xf numFmtId="0" fontId="2" fillId="0" borderId="11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8" fillId="0" borderId="11" applyAlignment="1" pivotButton="0" quotePrefix="0" xfId="0">
      <alignment horizontal="left" vertical="top"/>
    </xf>
    <xf numFmtId="0" fontId="0" fillId="0" borderId="10" applyAlignment="1" pivotButton="0" quotePrefix="0" xfId="0">
      <alignment horizontal="center" vertical="top"/>
    </xf>
    <xf numFmtId="0" fontId="0" fillId="0" borderId="10" applyAlignment="1" pivotButton="0" quotePrefix="0" xfId="0">
      <alignment horizontal="left" vertical="top"/>
    </xf>
    <xf numFmtId="0" fontId="0" fillId="0" borderId="10" applyAlignment="1" pivotButton="0" quotePrefix="0" xfId="0">
      <alignment horizontal="left" vertical="top" wrapText="1"/>
    </xf>
    <xf numFmtId="0" fontId="0" fillId="0" borderId="10" applyAlignment="1" pivotButton="0" quotePrefix="0" xfId="0">
      <alignment horizontal="center" vertical="top"/>
    </xf>
    <xf numFmtId="14" fontId="0" fillId="0" borderId="10" applyAlignment="1" pivotButton="0" quotePrefix="0" xfId="0">
      <alignment horizontal="center" vertical="top"/>
    </xf>
    <xf numFmtId="0" fontId="0" fillId="0" borderId="10" applyAlignment="1" pivotButton="0" quotePrefix="0" xfId="0">
      <alignment horizontal="left" vertical="top"/>
    </xf>
    <xf numFmtId="0" fontId="0" fillId="0" borderId="10" applyAlignment="1" pivotButton="0" quotePrefix="0" xfId="0">
      <alignment horizontal="left" vertical="top" wrapText="1"/>
    </xf>
    <xf numFmtId="0" fontId="2" fillId="0" borderId="21" applyAlignment="1" pivotButton="0" quotePrefix="0" xfId="0">
      <alignment horizontal="center" vertical="top"/>
    </xf>
    <xf numFmtId="0" fontId="2" fillId="0" borderId="22" applyAlignment="1" pivotButton="0" quotePrefix="0" xfId="0">
      <alignment horizontal="center" vertical="top"/>
    </xf>
    <xf numFmtId="14" fontId="2" fillId="0" borderId="21" applyAlignment="1" pivotButton="0" quotePrefix="1" xfId="0">
      <alignment horizontal="center" vertical="top"/>
    </xf>
    <xf numFmtId="14" fontId="2" fillId="0" borderId="23" applyAlignment="1" pivotButton="0" quotePrefix="1" xfId="0">
      <alignment horizontal="center" vertical="top"/>
    </xf>
    <xf numFmtId="14" fontId="2" fillId="0" borderId="22" applyAlignment="1" pivotButton="0" quotePrefix="1" xfId="0">
      <alignment horizontal="center" vertical="top"/>
    </xf>
    <xf numFmtId="14" fontId="2" fillId="0" borderId="21" applyAlignment="1" pivotButton="0" quotePrefix="0" xfId="0">
      <alignment horizontal="center" vertical="top"/>
    </xf>
    <xf numFmtId="14" fontId="2" fillId="0" borderId="23" applyAlignment="1" pivotButton="0" quotePrefix="0" xfId="0">
      <alignment horizontal="center" vertical="top"/>
    </xf>
    <xf numFmtId="14" fontId="2" fillId="0" borderId="22" applyAlignment="1" pivotButton="0" quotePrefix="0" xfId="0">
      <alignment horizontal="center" vertical="top"/>
    </xf>
    <xf numFmtId="0" fontId="2" fillId="0" borderId="21" applyAlignment="1" pivotButton="0" quotePrefix="0" xfId="0">
      <alignment horizontal="left" vertical="top"/>
    </xf>
    <xf numFmtId="0" fontId="2" fillId="0" borderId="23" applyAlignment="1" pivotButton="0" quotePrefix="0" xfId="0">
      <alignment horizontal="left" vertical="top"/>
    </xf>
    <xf numFmtId="0" fontId="2" fillId="0" borderId="22" applyAlignment="1" pivotButton="0" quotePrefix="0" xfId="0">
      <alignment horizontal="left" vertical="top"/>
    </xf>
    <xf numFmtId="0" fontId="2" fillId="0" borderId="21" applyAlignment="1" pivotButton="0" quotePrefix="0" xfId="0">
      <alignment horizontal="left" vertical="top" wrapText="1"/>
    </xf>
    <xf numFmtId="0" fontId="2" fillId="0" borderId="23" applyAlignment="1" pivotButton="0" quotePrefix="0" xfId="0">
      <alignment horizontal="left" vertical="top" wrapText="1"/>
    </xf>
    <xf numFmtId="0" fontId="2" fillId="0" borderId="22" applyAlignment="1" pivotButton="0" quotePrefix="0" xfId="0">
      <alignment horizontal="left" vertical="top" wrapText="1"/>
    </xf>
    <xf numFmtId="165" fontId="2" fillId="0" borderId="10" applyAlignment="1" pivotButton="0" quotePrefix="0" xfId="45">
      <alignment horizontal="right" vertical="top"/>
    </xf>
    <xf numFmtId="165" fontId="2" fillId="0" borderId="11" applyAlignment="1" pivotButton="0" quotePrefix="0" xfId="45">
      <alignment horizontal="right" vertical="top"/>
    </xf>
    <xf numFmtId="165" fontId="2" fillId="0" borderId="12" applyAlignment="1" pivotButton="0" quotePrefix="0" xfId="45">
      <alignment horizontal="right" vertical="top"/>
    </xf>
    <xf numFmtId="0" fontId="2" fillId="0" borderId="13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2" fillId="24" borderId="10" applyAlignment="1" pivotButton="0" quotePrefix="0" xfId="41">
      <alignment horizontal="left" vertical="top"/>
    </xf>
    <xf numFmtId="0" fontId="2" fillId="24" borderId="11" applyAlignment="1" pivotButton="0" quotePrefix="0" xfId="41">
      <alignment horizontal="left" vertical="top"/>
    </xf>
    <xf numFmtId="0" fontId="2" fillId="24" borderId="12" applyAlignment="1" pivotButton="0" quotePrefix="0" xfId="41">
      <alignment horizontal="left" vertical="top"/>
    </xf>
    <xf numFmtId="0" fontId="2" fillId="0" borderId="10" applyAlignment="1" pivotButton="0" quotePrefix="0" xfId="42">
      <alignment horizontal="left" vertical="top"/>
    </xf>
    <xf numFmtId="0" fontId="2" fillId="0" borderId="11" applyAlignment="1" pivotButton="0" quotePrefix="0" xfId="42">
      <alignment horizontal="left" vertical="top"/>
    </xf>
    <xf numFmtId="0" fontId="2" fillId="0" borderId="12" applyAlignment="1" pivotButton="0" quotePrefix="0" xfId="42">
      <alignment horizontal="left" vertical="top"/>
    </xf>
    <xf numFmtId="0" fontId="2" fillId="0" borderId="10" applyAlignment="1" pivotButton="0" quotePrefix="0" xfId="41">
      <alignment horizontal="left" vertical="top"/>
    </xf>
    <xf numFmtId="0" fontId="2" fillId="0" borderId="11" applyAlignment="1" pivotButton="0" quotePrefix="0" xfId="41">
      <alignment horizontal="left" vertical="top"/>
    </xf>
    <xf numFmtId="0" fontId="2" fillId="0" borderId="12" applyAlignment="1" pivotButton="0" quotePrefix="0" xfId="41">
      <alignment horizontal="left" vertical="top"/>
    </xf>
    <xf numFmtId="0" fontId="0" fillId="24" borderId="10" applyAlignment="1" pivotButton="0" quotePrefix="0" xfId="41">
      <alignment horizontal="left" vertical="top"/>
    </xf>
    <xf numFmtId="0" fontId="0" fillId="0" borderId="10" applyAlignment="1" pivotButton="0" quotePrefix="0" xfId="42">
      <alignment horizontal="left" vertical="top"/>
    </xf>
    <xf numFmtId="0" fontId="2" fillId="24" borderId="13" applyAlignment="1" pivotButton="0" quotePrefix="0" xfId="41">
      <alignment horizontal="left" vertical="top"/>
    </xf>
    <xf numFmtId="0" fontId="2" fillId="24" borderId="14" applyAlignment="1" pivotButton="0" quotePrefix="0" xfId="41">
      <alignment horizontal="left" vertical="top"/>
    </xf>
    <xf numFmtId="0" fontId="2" fillId="24" borderId="15" applyAlignment="1" pivotButton="0" quotePrefix="0" xfId="41">
      <alignment horizontal="left" vertical="top"/>
    </xf>
    <xf numFmtId="0" fontId="2" fillId="24" borderId="24" applyAlignment="1" pivotButton="0" quotePrefix="0" xfId="41">
      <alignment horizontal="left" vertical="top"/>
    </xf>
    <xf numFmtId="0" fontId="2" fillId="24" borderId="0" applyAlignment="1" pivotButton="0" quotePrefix="0" xfId="41">
      <alignment horizontal="left" vertical="top"/>
    </xf>
    <xf numFmtId="0" fontId="2" fillId="24" borderId="25" applyAlignment="1" pivotButton="0" quotePrefix="0" xfId="41">
      <alignment horizontal="left" vertical="top"/>
    </xf>
    <xf numFmtId="0" fontId="2" fillId="24" borderId="16" applyAlignment="1" pivotButton="0" quotePrefix="0" xfId="41">
      <alignment horizontal="left" vertical="top"/>
    </xf>
    <xf numFmtId="0" fontId="2" fillId="24" borderId="17" applyAlignment="1" pivotButton="0" quotePrefix="0" xfId="41">
      <alignment horizontal="left" vertical="top"/>
    </xf>
    <xf numFmtId="0" fontId="2" fillId="24" borderId="18" applyAlignment="1" pivotButton="0" quotePrefix="0" xfId="41">
      <alignment horizontal="left" vertical="top"/>
    </xf>
    <xf numFmtId="0" fontId="0" fillId="0" borderId="13" applyAlignment="1" pivotButton="0" quotePrefix="0" xfId="41">
      <alignment horizontal="left" vertical="top"/>
    </xf>
    <xf numFmtId="0" fontId="2" fillId="0" borderId="14" applyAlignment="1" pivotButton="0" quotePrefix="0" xfId="41">
      <alignment horizontal="left" vertical="top"/>
    </xf>
    <xf numFmtId="0" fontId="2" fillId="0" borderId="15" applyAlignment="1" pivotButton="0" quotePrefix="0" xfId="41">
      <alignment horizontal="left" vertical="top"/>
    </xf>
    <xf numFmtId="0" fontId="2" fillId="0" borderId="24" applyAlignment="1" pivotButton="0" quotePrefix="0" xfId="41">
      <alignment horizontal="left" vertical="top"/>
    </xf>
    <xf numFmtId="0" fontId="2" fillId="0" borderId="0" applyAlignment="1" pivotButton="0" quotePrefix="0" xfId="41">
      <alignment horizontal="left" vertical="top"/>
    </xf>
    <xf numFmtId="0" fontId="2" fillId="0" borderId="25" applyAlignment="1" pivotButton="0" quotePrefix="0" xfId="41">
      <alignment horizontal="left" vertical="top"/>
    </xf>
    <xf numFmtId="0" fontId="2" fillId="0" borderId="16" applyAlignment="1" pivotButton="0" quotePrefix="0" xfId="41">
      <alignment horizontal="left" vertical="top"/>
    </xf>
    <xf numFmtId="0" fontId="2" fillId="0" borderId="17" applyAlignment="1" pivotButton="0" quotePrefix="0" xfId="41">
      <alignment horizontal="left" vertical="top"/>
    </xf>
    <xf numFmtId="0" fontId="2" fillId="0" borderId="18" applyAlignment="1" pivotButton="0" quotePrefix="0" xfId="41">
      <alignment horizontal="left" vertical="top"/>
    </xf>
    <xf numFmtId="14" fontId="2" fillId="0" borderId="10" applyAlignment="1" pivotButton="0" quotePrefix="0" xfId="41">
      <alignment horizontal="left" vertical="top"/>
    </xf>
    <xf numFmtId="14" fontId="2" fillId="0" borderId="11" applyAlignment="1" pivotButton="0" quotePrefix="0" xfId="41">
      <alignment horizontal="left" vertical="top"/>
    </xf>
    <xf numFmtId="14" fontId="2" fillId="0" borderId="12" applyAlignment="1" pivotButton="0" quotePrefix="0" xfId="41">
      <alignment horizontal="left" vertical="top"/>
    </xf>
    <xf numFmtId="0" fontId="2" fillId="0" borderId="13" applyAlignment="1" pivotButton="0" quotePrefix="0" xfId="41">
      <alignment horizontal="left" vertical="top"/>
    </xf>
    <xf numFmtId="0" fontId="2" fillId="24" borderId="10" applyAlignment="1" pivotButton="0" quotePrefix="0" xfId="41">
      <alignment vertical="top"/>
    </xf>
    <xf numFmtId="0" fontId="2" fillId="24" borderId="12" applyAlignment="1" pivotButton="0" quotePrefix="0" xfId="41">
      <alignment vertical="top"/>
    </xf>
    <xf numFmtId="165" fontId="2" fillId="0" borderId="10" applyAlignment="1" pivotButton="0" quotePrefix="0" xfId="0">
      <alignment horizontal="right" vertical="top"/>
    </xf>
    <xf numFmtId="165" fontId="2" fillId="0" borderId="11" applyAlignment="1" pivotButton="0" quotePrefix="0" xfId="0">
      <alignment horizontal="right" vertical="top"/>
    </xf>
    <xf numFmtId="165" fontId="2" fillId="0" borderId="12" applyAlignment="1" pivotButton="0" quotePrefix="0" xfId="0">
      <alignment horizontal="right" vertical="top"/>
    </xf>
    <xf numFmtId="0" fontId="33" fillId="24" borderId="13" applyAlignment="1" pivotButton="0" quotePrefix="0" xfId="41">
      <alignment horizontal="left" vertical="top"/>
    </xf>
    <xf numFmtId="0" fontId="33" fillId="24" borderId="14" applyAlignment="1" pivotButton="0" quotePrefix="0" xfId="41">
      <alignment horizontal="left" vertical="top"/>
    </xf>
    <xf numFmtId="0" fontId="33" fillId="24" borderId="15" applyAlignment="1" pivotButton="0" quotePrefix="0" xfId="41">
      <alignment horizontal="left" vertical="top"/>
    </xf>
    <xf numFmtId="0" fontId="33" fillId="24" borderId="24" applyAlignment="1" pivotButton="0" quotePrefix="0" xfId="41">
      <alignment horizontal="left" vertical="top"/>
    </xf>
    <xf numFmtId="0" fontId="33" fillId="24" borderId="0" applyAlignment="1" pivotButton="0" quotePrefix="0" xfId="41">
      <alignment horizontal="left" vertical="top"/>
    </xf>
    <xf numFmtId="0" fontId="33" fillId="24" borderId="25" applyAlignment="1" pivotButton="0" quotePrefix="0" xfId="41">
      <alignment horizontal="left" vertical="top"/>
    </xf>
    <xf numFmtId="0" fontId="33" fillId="24" borderId="16" applyAlignment="1" pivotButton="0" quotePrefix="0" xfId="41">
      <alignment horizontal="left" vertical="top"/>
    </xf>
    <xf numFmtId="0" fontId="33" fillId="24" borderId="17" applyAlignment="1" pivotButton="0" quotePrefix="0" xfId="41">
      <alignment horizontal="left" vertical="top"/>
    </xf>
    <xf numFmtId="0" fontId="33" fillId="24" borderId="18" applyAlignment="1" pivotButton="0" quotePrefix="0" xfId="41">
      <alignment horizontal="left" vertical="top"/>
    </xf>
    <xf numFmtId="0" fontId="2" fillId="0" borderId="13" applyAlignment="1" pivotButton="0" quotePrefix="0" xfId="41">
      <alignment horizontal="left" vertical="top" wrapText="1"/>
    </xf>
    <xf numFmtId="0" fontId="2" fillId="0" borderId="14" applyAlignment="1" pivotButton="0" quotePrefix="0" xfId="41">
      <alignment horizontal="left" vertical="top" wrapText="1"/>
    </xf>
    <xf numFmtId="0" fontId="2" fillId="0" borderId="15" applyAlignment="1" pivotButton="0" quotePrefix="0" xfId="41">
      <alignment horizontal="left" vertical="top" wrapText="1"/>
    </xf>
    <xf numFmtId="0" fontId="2" fillId="0" borderId="24" applyAlignment="1" pivotButton="0" quotePrefix="0" xfId="41">
      <alignment horizontal="left" vertical="top" wrapText="1"/>
    </xf>
    <xf numFmtId="0" fontId="2" fillId="0" borderId="0" applyAlignment="1" pivotButton="0" quotePrefix="0" xfId="41">
      <alignment horizontal="left" vertical="top" wrapText="1"/>
    </xf>
    <xf numFmtId="0" fontId="2" fillId="0" borderId="25" applyAlignment="1" pivotButton="0" quotePrefix="0" xfId="41">
      <alignment horizontal="left" vertical="top" wrapText="1"/>
    </xf>
    <xf numFmtId="0" fontId="2" fillId="0" borderId="16" applyAlignment="1" pivotButton="0" quotePrefix="0" xfId="41">
      <alignment horizontal="left" vertical="top" wrapText="1"/>
    </xf>
    <xf numFmtId="0" fontId="2" fillId="0" borderId="17" applyAlignment="1" pivotButton="0" quotePrefix="0" xfId="41">
      <alignment horizontal="left" vertical="top" wrapText="1"/>
    </xf>
    <xf numFmtId="0" fontId="2" fillId="0" borderId="18" applyAlignment="1" pivotButton="0" quotePrefix="0" xfId="41">
      <alignment horizontal="left" vertical="top" wrapText="1"/>
    </xf>
    <xf numFmtId="164" fontId="7" fillId="0" borderId="0" applyAlignment="1" pivotButton="0" quotePrefix="1" xfId="41">
      <alignment horizontal="center"/>
    </xf>
    <xf numFmtId="0" fontId="0" fillId="24" borderId="20" applyAlignment="1" pivotButton="0" quotePrefix="0" xfId="41">
      <alignment horizontal="left" vertical="top"/>
    </xf>
    <xf numFmtId="0" fontId="0" fillId="0" borderId="11" pivotButton="0" quotePrefix="0" xfId="0"/>
    <xf numFmtId="0" fontId="0" fillId="0" borderId="12" pivotButton="0" quotePrefix="0" xfId="0"/>
    <xf numFmtId="0" fontId="0" fillId="0" borderId="20" applyAlignment="1" pivotButton="0" quotePrefix="0" xfId="42">
      <alignment horizontal="left" vertical="top"/>
    </xf>
    <xf numFmtId="0" fontId="2" fillId="24" borderId="20" applyAlignment="1" pivotButton="0" quotePrefix="0" xfId="41">
      <alignment horizontal="left" vertical="top"/>
    </xf>
    <xf numFmtId="0" fontId="0" fillId="0" borderId="14" pivotButton="0" quotePrefix="0" xfId="0"/>
    <xf numFmtId="0" fontId="0" fillId="0" borderId="15" pivotButton="0" quotePrefix="0" xfId="0"/>
    <xf numFmtId="0" fontId="0" fillId="0" borderId="20" applyAlignment="1" pivotButton="0" quotePrefix="0" xfId="41">
      <alignment horizontal="left" vertical="top"/>
    </xf>
    <xf numFmtId="14" fontId="2" fillId="0" borderId="20" applyAlignment="1" pivotButton="0" quotePrefix="0" xfId="41">
      <alignment horizontal="left" vertical="top"/>
    </xf>
    <xf numFmtId="165" fontId="2" fillId="0" borderId="20" applyAlignment="1" pivotButton="0" quotePrefix="0" xfId="45">
      <alignment horizontal="right" vertical="top"/>
    </xf>
    <xf numFmtId="0" fontId="2" fillId="0" borderId="20" applyAlignment="1" pivotButton="0" quotePrefix="0" xfId="42">
      <alignment horizontal="left" vertical="top"/>
    </xf>
    <xf numFmtId="0" fontId="0" fillId="0" borderId="24" pivotButton="0" quotePrefix="0" xfId="0"/>
    <xf numFmtId="0" fontId="0" fillId="0" borderId="25" pivotButton="0" quotePrefix="0" xfId="0"/>
    <xf numFmtId="0" fontId="2" fillId="0" borderId="20" applyAlignment="1" pivotButton="0" quotePrefix="0" xfId="41">
      <alignment horizontal="left" vertical="top"/>
    </xf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2" fillId="0" borderId="28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2" fillId="0" borderId="29" applyAlignment="1" pivotButton="0" quotePrefix="0" xfId="0">
      <alignment horizontal="center" vertical="top"/>
    </xf>
    <xf numFmtId="0" fontId="0" fillId="0" borderId="22" pivotButton="0" quotePrefix="0" xfId="0"/>
    <xf numFmtId="14" fontId="2" fillId="0" borderId="29" applyAlignment="1" pivotButton="0" quotePrefix="1" xfId="0">
      <alignment horizontal="center" vertical="top"/>
    </xf>
    <xf numFmtId="0" fontId="0" fillId="0" borderId="23" pivotButton="0" quotePrefix="0" xfId="0"/>
    <xf numFmtId="14" fontId="2" fillId="0" borderId="29" applyAlignment="1" pivotButton="0" quotePrefix="0" xfId="0">
      <alignment horizontal="center" vertical="top"/>
    </xf>
    <xf numFmtId="0" fontId="2" fillId="0" borderId="29" applyAlignment="1" pivotButton="0" quotePrefix="0" xfId="0">
      <alignment horizontal="left" vertical="top"/>
    </xf>
    <xf numFmtId="0" fontId="2" fillId="0" borderId="29" applyAlignment="1" pivotButton="0" quotePrefix="0" xfId="0">
      <alignment horizontal="left" vertical="top" wrapText="1"/>
    </xf>
    <xf numFmtId="0" fontId="0" fillId="0" borderId="20" applyAlignment="1" pivotButton="0" quotePrefix="0" xfId="0">
      <alignment horizontal="center" vertical="top"/>
    </xf>
    <xf numFmtId="14" fontId="2" fillId="0" borderId="20" applyAlignment="1" pivotButton="0" quotePrefix="0" xfId="0">
      <alignment horizontal="center" vertical="top"/>
    </xf>
    <xf numFmtId="14" fontId="0" fillId="0" borderId="20" applyAlignment="1" pivotButton="0" quotePrefix="0" xfId="0">
      <alignment horizontal="center" vertical="top"/>
    </xf>
    <xf numFmtId="0" fontId="0" fillId="0" borderId="20" applyAlignment="1" pivotButton="0" quotePrefix="0" xfId="0">
      <alignment horizontal="left" vertical="top"/>
    </xf>
    <xf numFmtId="0" fontId="0" fillId="0" borderId="20" applyAlignment="1" pivotButton="0" quotePrefix="0" xfId="0">
      <alignment horizontal="left" vertical="top" wrapText="1"/>
    </xf>
    <xf numFmtId="0" fontId="2" fillId="0" borderId="20" applyAlignment="1" pivotButton="0" quotePrefix="0" xfId="0">
      <alignment horizontal="left" vertical="top"/>
    </xf>
    <xf numFmtId="0" fontId="2" fillId="0" borderId="20" applyAlignment="1" pivotButton="0" quotePrefix="0" xfId="0">
      <alignment horizontal="left" vertical="top" wrapText="1"/>
    </xf>
    <xf numFmtId="0" fontId="2" fillId="24" borderId="20" applyAlignment="1" pivotButton="0" quotePrefix="0" xfId="41">
      <alignment vertical="top"/>
    </xf>
    <xf numFmtId="165" fontId="2" fillId="0" borderId="20" applyAlignment="1" pivotButton="0" quotePrefix="0" xfId="0">
      <alignment horizontal="right" vertical="top"/>
    </xf>
    <xf numFmtId="0" fontId="33" fillId="24" borderId="20" applyAlignment="1" pivotButton="0" quotePrefix="0" xfId="41">
      <alignment horizontal="left" vertical="top"/>
    </xf>
    <xf numFmtId="0" fontId="2" fillId="0" borderId="20" applyAlignment="1" pivotButton="0" quotePrefix="0" xfId="41">
      <alignment horizontal="left" vertical="top" wrapText="1"/>
    </xf>
    <xf numFmtId="165" fontId="2" fillId="0" borderId="0" applyAlignment="1" pivotButton="0" quotePrefix="0" xfId="0">
      <alignment horizontal="right"/>
    </xf>
  </cellXfs>
  <cellStyles count="52">
    <cellStyle name="標準" xfId="0" builtinId="0"/>
    <cellStyle name="20% - アクセント 1" xfId="1" builtinId="30"/>
    <cellStyle name="20% - アクセント 2" xfId="2" builtinId="34"/>
    <cellStyle name="20% - アクセント 3" xfId="3" builtinId="38"/>
    <cellStyle name="20% - アクセント 4" xfId="4" builtinId="42"/>
    <cellStyle name="20% - アクセント 5" xfId="5" builtinId="46"/>
    <cellStyle name="20% - アクセント 6" xfId="6" builtinId="50"/>
    <cellStyle name="40% - アクセント 1" xfId="7" builtinId="31"/>
    <cellStyle name="40% - アクセント 2" xfId="8" builtinId="35"/>
    <cellStyle name="40% - アクセント 3" xfId="9" builtinId="39"/>
    <cellStyle name="40% - アクセント 4" xfId="10" builtinId="43"/>
    <cellStyle name="40% - アクセント 5" xfId="11" builtinId="47"/>
    <cellStyle name="40% - アクセント 6" xfId="12" builtinId="51"/>
    <cellStyle name="60% - アクセント 1" xfId="13" builtinId="32"/>
    <cellStyle name="60% - アクセント 2" xfId="14" builtinId="36"/>
    <cellStyle name="60% - アクセント 3" xfId="15" builtinId="40"/>
    <cellStyle name="60% - アクセント 4" xfId="16" builtinId="44"/>
    <cellStyle name="60% - アクセント 5" xfId="17" builtinId="48"/>
    <cellStyle name="60% - アクセント 6" xfId="18" builtinId="52"/>
    <cellStyle name="アクセント 1" xfId="19" builtinId="29"/>
    <cellStyle name="アクセント 2" xfId="20" builtinId="33"/>
    <cellStyle name="アクセント 3" xfId="21" builtinId="37"/>
    <cellStyle name="アクセント 4" xfId="22" builtinId="41"/>
    <cellStyle name="アクセント 5" xfId="23" builtinId="45"/>
    <cellStyle name="アクセント 6" xfId="24" builtinId="49"/>
    <cellStyle name="タイトル" xfId="25" builtinId="15"/>
    <cellStyle name="チェック セル" xfId="26" builtinId="23"/>
    <cellStyle name="どちらでもない" xfId="27" builtinId="28"/>
    <cellStyle name="メモ" xfId="28" builtinId="10"/>
    <cellStyle name="リンク セル" xfId="29" builtinId="24"/>
    <cellStyle name="悪い" xfId="30" builtinId="27"/>
    <cellStyle name="計算" xfId="31" builtinId="22"/>
    <cellStyle name="警告文" xfId="32" builtinId="11"/>
    <cellStyle name="見出し 1" xfId="33" builtinId="16"/>
    <cellStyle name="見出し 2" xfId="34" builtinId="17"/>
    <cellStyle name="見出し 3" xfId="35" builtinId="18"/>
    <cellStyle name="見出し 4" xfId="36" builtinId="19"/>
    <cellStyle name="集計" xfId="37" builtinId="25"/>
    <cellStyle name="出力" xfId="38" builtinId="21"/>
    <cellStyle name="説明文" xfId="39" builtinId="53"/>
    <cellStyle name="入力" xfId="40" builtinId="20"/>
    <cellStyle name="標準_画面標準" xfId="41"/>
    <cellStyle name="標準_画面標準定義" xfId="42"/>
    <cellStyle name="良い" xfId="43" builtinId="26"/>
    <cellStyle name="標準 2" xfId="44"/>
    <cellStyle name="標準 2 2" xfId="45"/>
    <cellStyle name="ハイパーリンク" xfId="46" builtinId="8"/>
    <cellStyle name="パーセント 2" xfId="47"/>
    <cellStyle name="標準 4" xfId="48"/>
    <cellStyle name="標準 3" xfId="49"/>
    <cellStyle name="標準 5" xfId="50"/>
    <cellStyle name="標準 3 2" xfId="5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000" tIns="7200" rIns="18000" bIns="720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000" tIns="7200" rIns="18000" bIns="7200" upright="1"/>
      <a:lstStyle/>
    </a:lnDef>
  </a:objectDefaults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jakarta.ee/specifications/faces/" TargetMode="External" Id="rId1"/><Relationship Type="http://schemas.openxmlformats.org/officeDocument/2006/relationships/hyperlink" Target="https://jakarta.ee/specifications/authentication/" TargetMode="External" Id="rId2"/><Relationship Type="http://schemas.openxmlformats.org/officeDocument/2006/relationships/hyperlink" Target="https://jakarta.ee/specifications/authorization/" TargetMode="External" Id="rId3"/><Relationship Type="http://schemas.openxmlformats.org/officeDocument/2006/relationships/hyperlink" Target="https://jakarta.ee/specifications/messaging/" TargetMode="External" Id="rId4"/><Relationship Type="http://schemas.openxmlformats.org/officeDocument/2006/relationships/hyperlink" Target="https://jakarta.ee/specifications/persistence/" TargetMode="External" Id="rId5"/><Relationship Type="http://schemas.openxmlformats.org/officeDocument/2006/relationships/hyperlink" Target="https://jakarta.ee/specifications/transactions/" TargetMode="External" Id="rId6"/><Relationship Type="http://schemas.openxmlformats.org/officeDocument/2006/relationships/hyperlink" Target="https://jakarta.ee/specifications/batch/" TargetMode="External" Id="rId7"/><Relationship Type="http://schemas.openxmlformats.org/officeDocument/2006/relationships/hyperlink" Target="https://jakarta.ee/specifications/connectors/" TargetMode="External" Id="rId8"/><Relationship Type="http://schemas.openxmlformats.org/officeDocument/2006/relationships/hyperlink" Target="https://jakarta.ee/specifications/activation/" TargetMode="External" Id="rId9"/><Relationship Type="http://schemas.openxmlformats.org/officeDocument/2006/relationships/hyperlink" Target="https://jakarta.ee/specifications/expression-language/" TargetMode="External" Id="rId10"/><Relationship Type="http://schemas.openxmlformats.org/officeDocument/2006/relationships/hyperlink" Target="https://jakarta.ee/specifications/enterprise-beans/" TargetMode="External" Id="rId11"/><Relationship Type="http://schemas.openxmlformats.org/officeDocument/2006/relationships/hyperlink" Target="https://jakarta.ee/specifications/xml-binding/" TargetMode="External" Id="rId12"/><Relationship Type="http://schemas.openxmlformats.org/officeDocument/2006/relationships/hyperlink" Target="https://jakarta.ee/specifications/jsonb/" TargetMode="External" Id="rId13"/><Relationship Type="http://schemas.openxmlformats.org/officeDocument/2006/relationships/hyperlink" Target="https://jakarta.ee/specifications/jsonp/" TargetMode="External" Id="rId14"/><Relationship Type="http://schemas.openxmlformats.org/officeDocument/2006/relationships/hyperlink" Target="https://jakarta.ee/specifications/pages/" TargetMode="External" Id="rId15"/><Relationship Type="http://schemas.openxmlformats.org/officeDocument/2006/relationships/hyperlink" Target="https://jakarta.ee/specifications/xml-web-services/" TargetMode="External" Id="rId16"/><Relationship Type="http://schemas.openxmlformats.org/officeDocument/2006/relationships/hyperlink" Target="https://jakarta.ee/specifications/restful-ws/" TargetMode="External" Id="rId17"/><Relationship Type="http://schemas.openxmlformats.org/officeDocument/2006/relationships/hyperlink" Target="https://jakarta.ee/specifications/tags/" TargetMode="External" Id="rId18"/><Relationship Type="http://schemas.openxmlformats.org/officeDocument/2006/relationships/hyperlink" Target="https://jakarta.ee/specifications/cdi/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39"/>
  <sheetViews>
    <sheetView showGridLines="0" tabSelected="1" view="pageBreakPreview" zoomScaleNormal="100" zoomScaleSheetLayoutView="100" workbookViewId="0">
      <selection activeCell="A1" sqref="A1"/>
    </sheetView>
  </sheetViews>
  <sheetFormatPr baseColWidth="8" defaultColWidth="8.83203125" defaultRowHeight="13.5"/>
  <cols>
    <col width="8.83203125" customWidth="1" style="18" min="1" max="16384"/>
  </cols>
  <sheetData>
    <row r="1" ht="13.5" customHeight="1">
      <c r="B1" s="19" t="n"/>
      <c r="C1" s="20" t="n"/>
    </row>
    <row r="2" ht="19.5" customHeight="1">
      <c r="A2" s="21" t="n"/>
    </row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>
      <c r="F22" s="22" t="n"/>
      <c r="H22" s="22" t="n"/>
    </row>
    <row r="23" ht="17.25" customHeight="1">
      <c r="F23" s="22" t="n"/>
      <c r="G23" s="22" t="n"/>
      <c r="H23" s="22" t="n"/>
      <c r="J23" s="187" t="inlineStr">
        <is>
          <t>第１．１版</t>
        </is>
      </c>
    </row>
    <row r="24" ht="13.5" customHeight="1">
      <c r="F24" s="22" t="n"/>
      <c r="G24" s="22" t="n"/>
      <c r="H24" s="22" t="n"/>
    </row>
    <row r="25" ht="18" customHeight="1">
      <c r="F25" s="22" t="n"/>
      <c r="G25" s="22" t="n"/>
      <c r="H25" s="22" t="n"/>
      <c r="I25" s="89">
        <f>IF(INDIRECT("変更履歴!D8")="","",MAX(INDIRECT("変更履歴!D8"):INDIRECT("変更履歴!F33")))</f>
        <v/>
      </c>
    </row>
    <row r="26" ht="13.5" customHeight="1">
      <c r="F26" s="22" t="n"/>
      <c r="G26" s="22" t="n"/>
      <c r="H26" s="22" t="n"/>
    </row>
    <row r="27" ht="13.5" customHeight="1">
      <c r="F27" s="22" t="n"/>
      <c r="G27" s="22" t="n"/>
      <c r="H27" s="22" t="n"/>
    </row>
    <row r="28" ht="13.5" customHeight="1">
      <c r="F28" s="23" t="n"/>
      <c r="G28" s="22" t="n"/>
      <c r="H28" s="22" t="n"/>
    </row>
    <row r="29" ht="15" customHeight="1">
      <c r="F29" s="22" t="n"/>
      <c r="H29" s="22" t="n"/>
    </row>
    <row r="30" ht="13.5" customHeight="1">
      <c r="F30" s="22" t="n"/>
      <c r="G30" s="24" t="n"/>
      <c r="H30" s="22" t="n"/>
    </row>
    <row r="31" ht="18.75" customHeight="1">
      <c r="F31" s="22" t="n"/>
      <c r="G31" s="24" t="n"/>
      <c r="H31" s="22" t="n"/>
    </row>
    <row r="32" ht="18.75" customHeight="1">
      <c r="F32" s="22" t="n"/>
      <c r="G32" s="24" t="n"/>
      <c r="H32" s="22" t="n"/>
      <c r="J32" s="25" t="n"/>
    </row>
    <row r="33" ht="18.75" customHeight="1">
      <c r="F33" s="22" t="n"/>
      <c r="H33" s="22" t="n"/>
      <c r="J33" s="26" t="n"/>
      <c r="L33" s="26" t="n"/>
      <c r="M33" s="21" t="n"/>
      <c r="N33" s="26" t="n"/>
      <c r="O33" s="26" t="n"/>
      <c r="P33" s="26" t="n"/>
    </row>
    <row r="34" ht="18.75" customHeight="1">
      <c r="F34" s="22" t="n"/>
      <c r="H34" s="22" t="n"/>
      <c r="J34" s="25" t="n"/>
      <c r="L34" s="26" t="n"/>
      <c r="M34" s="26" t="n"/>
      <c r="N34" s="26" t="n"/>
      <c r="O34" s="26" t="n"/>
      <c r="P34" s="26" t="n"/>
      <c r="Q34" s="27" t="n"/>
      <c r="R34" s="28" t="n"/>
      <c r="S34" s="28" t="n"/>
    </row>
    <row r="35" ht="13.5" customHeight="1">
      <c r="O35" s="26" t="n"/>
      <c r="P35" s="26" t="n"/>
      <c r="Q35" s="28" t="n"/>
      <c r="R35" s="28" t="n"/>
      <c r="S35" s="28" t="n"/>
    </row>
    <row r="36" ht="13.5" customHeight="1">
      <c r="O36" s="29" t="n"/>
      <c r="P36" s="28" t="n"/>
      <c r="Q36" s="29" t="n"/>
      <c r="R36" s="28" t="n"/>
      <c r="S36" s="29" t="n"/>
    </row>
    <row r="37" ht="13.5" customHeight="1">
      <c r="O37" s="30" t="n"/>
      <c r="P37" s="30" t="n"/>
      <c r="Q37" s="30" t="n"/>
      <c r="R37" s="31" t="n"/>
      <c r="S37" s="30" t="n"/>
    </row>
    <row r="38" ht="13.5" customHeight="1">
      <c r="O38" s="30" t="n"/>
      <c r="P38" s="30" t="n"/>
      <c r="Q38" s="31" t="n"/>
      <c r="R38" s="31" t="n"/>
      <c r="S38" s="31" t="n"/>
    </row>
    <row r="39" ht="13.5" customHeight="1">
      <c r="O39" s="30" t="n"/>
      <c r="P39" s="30" t="n"/>
      <c r="Q39" s="31" t="n"/>
      <c r="R39" s="31" t="n"/>
      <c r="S39" s="31" t="n"/>
    </row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</sheetData>
  <mergeCells count="1">
    <mergeCell ref="I25:K25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N34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6" min="1" max="16384"/>
  </cols>
  <sheetData>
    <row r="1" ht="12" customFormat="1" customHeight="1" s="3">
      <c r="A1" s="188" t="inlineStr">
        <is>
          <t>PJ名</t>
        </is>
      </c>
      <c r="B1" s="189" t="n"/>
      <c r="C1" s="189" t="n"/>
      <c r="D1" s="190" t="n"/>
      <c r="E1" s="191" t="inlineStr">
        <is>
          <t>出張旅費システム構築</t>
        </is>
      </c>
      <c r="F1" s="189" t="n"/>
      <c r="G1" s="189" t="n"/>
      <c r="H1" s="189" t="n"/>
      <c r="I1" s="189" t="n"/>
      <c r="J1" s="189" t="n"/>
      <c r="K1" s="189" t="n"/>
      <c r="L1" s="189" t="n"/>
      <c r="M1" s="189" t="n"/>
      <c r="N1" s="190" t="n"/>
      <c r="O1" s="192" t="inlineStr">
        <is>
          <t>成果物名</t>
        </is>
      </c>
      <c r="P1" s="193" t="n"/>
      <c r="Q1" s="193" t="n"/>
      <c r="R1" s="194" t="n"/>
      <c r="S1" s="195" t="inlineStr">
        <is>
          <t>設計書一覧</t>
        </is>
      </c>
      <c r="T1" s="193" t="n"/>
      <c r="U1" s="193" t="n"/>
      <c r="V1" s="193" t="n"/>
      <c r="W1" s="193" t="n"/>
      <c r="X1" s="193" t="n"/>
      <c r="Y1" s="193" t="n"/>
      <c r="Z1" s="194" t="n"/>
      <c r="AA1" s="192" t="inlineStr">
        <is>
          <t>作成</t>
        </is>
      </c>
      <c r="AB1" s="190" t="n"/>
      <c r="AC1" s="196">
        <f>IF(AF8="","",AF8)</f>
        <v/>
      </c>
      <c r="AD1" s="189" t="n"/>
      <c r="AE1" s="189" t="n"/>
      <c r="AF1" s="190" t="n"/>
      <c r="AG1" s="197">
        <f>IF(D8="","",D8)</f>
        <v/>
      </c>
      <c r="AH1" s="189" t="n"/>
      <c r="AI1" s="190" t="n"/>
      <c r="AJ1" s="1" t="n"/>
      <c r="AK1" s="1" t="n"/>
      <c r="AL1" s="1" t="n"/>
      <c r="AM1" s="1" t="n"/>
      <c r="AN1" s="2" t="n"/>
    </row>
    <row r="2" ht="12" customFormat="1" customHeight="1" s="3">
      <c r="A2" s="192" t="inlineStr">
        <is>
          <t>システム名</t>
        </is>
      </c>
      <c r="B2" s="189" t="n"/>
      <c r="C2" s="189" t="n"/>
      <c r="D2" s="190" t="n"/>
      <c r="E2" s="198" t="inlineStr">
        <is>
          <t>出張旅費システム</t>
        </is>
      </c>
      <c r="F2" s="189" t="n"/>
      <c r="G2" s="189" t="n"/>
      <c r="H2" s="189" t="n"/>
      <c r="I2" s="189" t="n"/>
      <c r="J2" s="189" t="n"/>
      <c r="K2" s="189" t="n"/>
      <c r="L2" s="189" t="n"/>
      <c r="M2" s="189" t="n"/>
      <c r="N2" s="190" t="n"/>
      <c r="O2" s="199" t="n"/>
      <c r="R2" s="200" t="n"/>
      <c r="S2" s="199" t="n"/>
      <c r="Z2" s="200" t="n"/>
      <c r="AA2" s="192" t="inlineStr">
        <is>
          <t>変更</t>
        </is>
      </c>
      <c r="AB2" s="190" t="n"/>
      <c r="AC2" s="201">
        <f>IF(COUNTA(AF9:AF33)&lt;&gt;0,INDIRECT("AF"&amp;(COUNTA(AF9:AF33)+8)),"")</f>
        <v/>
      </c>
      <c r="AD2" s="189" t="n"/>
      <c r="AE2" s="189" t="n"/>
      <c r="AF2" s="190" t="n"/>
      <c r="AG2" s="197">
        <f>IF(D9="","",MAX(D9:F33))</f>
        <v/>
      </c>
      <c r="AH2" s="189" t="n"/>
      <c r="AI2" s="190" t="n"/>
      <c r="AJ2" s="1" t="n"/>
      <c r="AK2" s="1" t="n"/>
      <c r="AL2" s="1" t="n"/>
      <c r="AM2" s="1" t="n"/>
      <c r="AN2" s="1" t="n"/>
    </row>
    <row r="3" ht="12" customFormat="1" customHeight="1" s="3">
      <c r="A3" s="192" t="inlineStr">
        <is>
          <t>サブシステム名</t>
        </is>
      </c>
      <c r="B3" s="189" t="n"/>
      <c r="C3" s="189" t="n"/>
      <c r="D3" s="190" t="n"/>
      <c r="E3" s="198" t="inlineStr">
        <is>
          <t>出張申請</t>
        </is>
      </c>
      <c r="F3" s="189" t="n"/>
      <c r="G3" s="189" t="n"/>
      <c r="H3" s="189" t="n"/>
      <c r="I3" s="189" t="n"/>
      <c r="J3" s="189" t="n"/>
      <c r="K3" s="189" t="n"/>
      <c r="L3" s="189" t="n"/>
      <c r="M3" s="189" t="n"/>
      <c r="N3" s="190" t="n"/>
      <c r="O3" s="202" t="n"/>
      <c r="P3" s="203" t="n"/>
      <c r="Q3" s="203" t="n"/>
      <c r="R3" s="204" t="n"/>
      <c r="S3" s="202" t="n"/>
      <c r="T3" s="203" t="n"/>
      <c r="U3" s="203" t="n"/>
      <c r="V3" s="203" t="n"/>
      <c r="W3" s="203" t="n"/>
      <c r="X3" s="203" t="n"/>
      <c r="Y3" s="203" t="n"/>
      <c r="Z3" s="204" t="n"/>
      <c r="AA3" s="192" t="n"/>
      <c r="AB3" s="190" t="n"/>
      <c r="AC3" s="196" t="n"/>
      <c r="AD3" s="189" t="n"/>
      <c r="AE3" s="189" t="n"/>
      <c r="AF3" s="190" t="n"/>
      <c r="AG3" s="197" t="n"/>
      <c r="AH3" s="189" t="n"/>
      <c r="AI3" s="190" t="n"/>
      <c r="AJ3" s="1" t="n"/>
      <c r="AK3" s="1" t="n"/>
      <c r="AL3" s="1" t="n"/>
      <c r="AM3" s="1" t="n"/>
      <c r="AN3" s="1" t="n"/>
    </row>
    <row r="5" ht="22.5" customFormat="1" customHeight="1" s="3">
      <c r="N5" s="4" t="inlineStr">
        <is>
          <t>変更履歴（ 1　/ 1 ）</t>
        </is>
      </c>
      <c r="AA5" s="17" t="n"/>
      <c r="AB5" s="17" t="n"/>
      <c r="AC5" s="14" t="n"/>
      <c r="AD5" s="15" t="n"/>
      <c r="AE5" s="15" t="n"/>
      <c r="AF5" s="15" t="n"/>
      <c r="AG5" s="17" t="n"/>
      <c r="AH5" s="17" t="n"/>
      <c r="AI5" s="17" t="n"/>
    </row>
    <row r="6" ht="15" customFormat="1" customHeight="1" s="3">
      <c r="N6" s="4" t="n"/>
      <c r="AA6" s="17" t="n"/>
      <c r="AB6" s="17" t="n"/>
      <c r="AC6" s="14" t="n"/>
      <c r="AD6" s="15" t="n"/>
      <c r="AE6" s="15" t="n"/>
      <c r="AF6" s="15" t="n"/>
      <c r="AG6" s="17" t="n"/>
      <c r="AH6" s="17" t="n"/>
      <c r="AI6" s="17" t="n"/>
    </row>
    <row r="7" ht="15" customFormat="1" customHeight="1" s="12" thickBot="1">
      <c r="A7" s="11" t="inlineStr">
        <is>
          <t>No.</t>
        </is>
      </c>
      <c r="B7" s="205" t="inlineStr">
        <is>
          <t>版数</t>
        </is>
      </c>
      <c r="C7" s="194" t="n"/>
      <c r="D7" s="205" t="inlineStr">
        <is>
          <t>変更日</t>
        </is>
      </c>
      <c r="E7" s="193" t="n"/>
      <c r="F7" s="194" t="n"/>
      <c r="G7" s="205" t="inlineStr">
        <is>
          <t>区分</t>
        </is>
      </c>
      <c r="H7" s="193" t="n"/>
      <c r="I7" s="194" t="n"/>
      <c r="J7" s="206" t="inlineStr">
        <is>
          <t>変更箇所（項番等）</t>
        </is>
      </c>
      <c r="K7" s="193" t="n"/>
      <c r="L7" s="193" t="n"/>
      <c r="M7" s="193" t="n"/>
      <c r="N7" s="193" t="n"/>
      <c r="O7" s="193" t="n"/>
      <c r="P7" s="194" t="n"/>
      <c r="Q7" s="205" t="inlineStr">
        <is>
          <t>変更内容</t>
        </is>
      </c>
      <c r="R7" s="193" t="n"/>
      <c r="S7" s="193" t="n"/>
      <c r="T7" s="193" t="n"/>
      <c r="U7" s="193" t="n"/>
      <c r="V7" s="193" t="n"/>
      <c r="W7" s="193" t="n"/>
      <c r="X7" s="193" t="n"/>
      <c r="Y7" s="193" t="n"/>
      <c r="Z7" s="193" t="n"/>
      <c r="AA7" s="193" t="n"/>
      <c r="AB7" s="193" t="n"/>
      <c r="AC7" s="193" t="n"/>
      <c r="AD7" s="193" t="n"/>
      <c r="AE7" s="194" t="n"/>
      <c r="AF7" s="205" t="inlineStr">
        <is>
          <t>担当者</t>
        </is>
      </c>
      <c r="AG7" s="193" t="n"/>
      <c r="AH7" s="193" t="n"/>
      <c r="AI7" s="194" t="n"/>
    </row>
    <row r="8" ht="15" customFormat="1" customHeight="1" s="12" thickTop="1">
      <c r="A8" s="16" t="n">
        <v>1</v>
      </c>
      <c r="B8" s="207" t="inlineStr">
        <is>
          <t>1.00</t>
        </is>
      </c>
      <c r="C8" s="208" t="n"/>
      <c r="D8" s="209" t="inlineStr">
        <is>
          <t>2024-06-03</t>
        </is>
      </c>
      <c r="E8" s="210" t="n"/>
      <c r="F8" s="208" t="n"/>
      <c r="G8" s="211" t="inlineStr">
        <is>
          <t>新規</t>
        </is>
      </c>
      <c r="H8" s="210" t="n"/>
      <c r="I8" s="208" t="n"/>
      <c r="J8" s="212" t="inlineStr">
        <is>
          <t>-</t>
        </is>
      </c>
      <c r="K8" s="210" t="n"/>
      <c r="L8" s="210" t="n"/>
      <c r="M8" s="210" t="n"/>
      <c r="N8" s="210" t="n"/>
      <c r="O8" s="210" t="n"/>
      <c r="P8" s="208" t="n"/>
      <c r="Q8" s="213" t="inlineStr">
        <is>
          <t>初版作成</t>
        </is>
      </c>
      <c r="R8" s="210" t="n"/>
      <c r="S8" s="210" t="n"/>
      <c r="T8" s="210" t="n"/>
      <c r="U8" s="210" t="n"/>
      <c r="V8" s="210" t="n"/>
      <c r="W8" s="210" t="n"/>
      <c r="X8" s="210" t="n"/>
      <c r="Y8" s="210" t="n"/>
      <c r="Z8" s="210" t="n"/>
      <c r="AA8" s="210" t="n"/>
      <c r="AB8" s="210" t="n"/>
      <c r="AC8" s="210" t="n"/>
      <c r="AD8" s="210" t="n"/>
      <c r="AE8" s="208" t="n"/>
      <c r="AF8" s="212" t="inlineStr">
        <is>
          <t>アナトミアSI</t>
        </is>
      </c>
      <c r="AG8" s="210" t="n"/>
      <c r="AH8" s="210" t="n"/>
      <c r="AI8" s="208" t="n"/>
    </row>
    <row r="9" ht="26.25" customFormat="1" customHeight="1" s="12">
      <c r="A9" s="13" t="n">
        <v>2</v>
      </c>
      <c r="B9" s="214" t="inlineStr">
        <is>
          <t>1.01</t>
        </is>
      </c>
      <c r="C9" s="190" t="n"/>
      <c r="D9" s="215" t="inlineStr">
        <is>
          <t>2024-09-17</t>
        </is>
      </c>
      <c r="E9" s="189" t="n"/>
      <c r="F9" s="190" t="n"/>
      <c r="G9" s="216" t="inlineStr">
        <is>
          <t>修正</t>
        </is>
      </c>
      <c r="H9" s="189" t="n"/>
      <c r="I9" s="190" t="n"/>
      <c r="J9" s="217" t="inlineStr">
        <is>
          <t>-</t>
        </is>
      </c>
      <c r="K9" s="189" t="n"/>
      <c r="L9" s="189" t="n"/>
      <c r="M9" s="189" t="n"/>
      <c r="N9" s="189" t="n"/>
      <c r="O9" s="189" t="n"/>
      <c r="P9" s="190" t="n"/>
      <c r="Q9" s="218" t="inlineStr">
        <is>
          <t>レビュー指摘反映</t>
        </is>
      </c>
      <c r="R9" s="189" t="n"/>
      <c r="S9" s="189" t="n"/>
      <c r="T9" s="189" t="n"/>
      <c r="U9" s="189" t="n"/>
      <c r="V9" s="189" t="n"/>
      <c r="W9" s="189" t="n"/>
      <c r="X9" s="189" t="n"/>
      <c r="Y9" s="189" t="n"/>
      <c r="Z9" s="189" t="n"/>
      <c r="AA9" s="189" t="n"/>
      <c r="AB9" s="189" t="n"/>
      <c r="AC9" s="189" t="n"/>
      <c r="AD9" s="189" t="n"/>
      <c r="AE9" s="190" t="n"/>
      <c r="AF9" s="217" t="inlineStr">
        <is>
          <t>アナトミアSI</t>
        </is>
      </c>
      <c r="AG9" s="189" t="n"/>
      <c r="AH9" s="189" t="n"/>
      <c r="AI9" s="190" t="n"/>
    </row>
    <row r="10" ht="15" customFormat="1" customHeight="1" s="12">
      <c r="A10" s="13" t="n"/>
      <c r="B10" s="214" t="n"/>
      <c r="C10" s="190" t="n"/>
      <c r="D10" s="215" t="n"/>
      <c r="E10" s="189" t="n"/>
      <c r="F10" s="190" t="n"/>
      <c r="G10" s="214" t="n"/>
      <c r="H10" s="189" t="n"/>
      <c r="I10" s="190" t="n"/>
      <c r="J10" s="217" t="n"/>
      <c r="K10" s="189" t="n"/>
      <c r="L10" s="189" t="n"/>
      <c r="M10" s="189" t="n"/>
      <c r="N10" s="189" t="n"/>
      <c r="O10" s="189" t="n"/>
      <c r="P10" s="190" t="n"/>
      <c r="Q10" s="218" t="n"/>
      <c r="R10" s="189" t="n"/>
      <c r="S10" s="189" t="n"/>
      <c r="T10" s="189" t="n"/>
      <c r="U10" s="189" t="n"/>
      <c r="V10" s="189" t="n"/>
      <c r="W10" s="189" t="n"/>
      <c r="X10" s="189" t="n"/>
      <c r="Y10" s="189" t="n"/>
      <c r="Z10" s="189" t="n"/>
      <c r="AA10" s="189" t="n"/>
      <c r="AB10" s="189" t="n"/>
      <c r="AC10" s="189" t="n"/>
      <c r="AD10" s="189" t="n"/>
      <c r="AE10" s="190" t="n"/>
      <c r="AF10" s="217" t="n"/>
      <c r="AG10" s="189" t="n"/>
      <c r="AH10" s="189" t="n"/>
      <c r="AI10" s="190" t="n"/>
    </row>
    <row r="11" ht="15" customFormat="1" customHeight="1" s="12">
      <c r="A11" s="13" t="n"/>
      <c r="B11" s="13" t="n"/>
      <c r="C11" s="190" t="n"/>
      <c r="D11" s="215" t="n"/>
      <c r="E11" s="189" t="n"/>
      <c r="F11" s="190" t="n"/>
      <c r="G11" s="13" t="n"/>
      <c r="H11" s="189" t="n"/>
      <c r="I11" s="190" t="n"/>
      <c r="J11" s="219" t="n"/>
      <c r="K11" s="189" t="n"/>
      <c r="L11" s="189" t="n"/>
      <c r="M11" s="189" t="n"/>
      <c r="N11" s="189" t="n"/>
      <c r="O11" s="189" t="n"/>
      <c r="P11" s="190" t="n"/>
      <c r="Q11" s="220" t="n"/>
      <c r="R11" s="189" t="n"/>
      <c r="S11" s="189" t="n"/>
      <c r="T11" s="189" t="n"/>
      <c r="U11" s="189" t="n"/>
      <c r="V11" s="189" t="n"/>
      <c r="W11" s="189" t="n"/>
      <c r="X11" s="189" t="n"/>
      <c r="Y11" s="189" t="n"/>
      <c r="Z11" s="189" t="n"/>
      <c r="AA11" s="189" t="n"/>
      <c r="AB11" s="189" t="n"/>
      <c r="AC11" s="189" t="n"/>
      <c r="AD11" s="189" t="n"/>
      <c r="AE11" s="190" t="n"/>
      <c r="AF11" s="219" t="n"/>
      <c r="AG11" s="189" t="n"/>
      <c r="AH11" s="189" t="n"/>
      <c r="AI11" s="190" t="n"/>
    </row>
    <row r="12" ht="15" customFormat="1" customHeight="1" s="12">
      <c r="A12" s="13" t="n"/>
      <c r="B12" s="13" t="n"/>
      <c r="C12" s="190" t="n"/>
      <c r="D12" s="215" t="n"/>
      <c r="E12" s="189" t="n"/>
      <c r="F12" s="190" t="n"/>
      <c r="G12" s="13" t="n"/>
      <c r="H12" s="189" t="n"/>
      <c r="I12" s="190" t="n"/>
      <c r="J12" s="219" t="n"/>
      <c r="K12" s="189" t="n"/>
      <c r="L12" s="189" t="n"/>
      <c r="M12" s="189" t="n"/>
      <c r="N12" s="189" t="n"/>
      <c r="O12" s="189" t="n"/>
      <c r="P12" s="190" t="n"/>
      <c r="Q12" s="220" t="n"/>
      <c r="R12" s="189" t="n"/>
      <c r="S12" s="189" t="n"/>
      <c r="T12" s="189" t="n"/>
      <c r="U12" s="189" t="n"/>
      <c r="V12" s="189" t="n"/>
      <c r="W12" s="189" t="n"/>
      <c r="X12" s="189" t="n"/>
      <c r="Y12" s="189" t="n"/>
      <c r="Z12" s="189" t="n"/>
      <c r="AA12" s="189" t="n"/>
      <c r="AB12" s="189" t="n"/>
      <c r="AC12" s="189" t="n"/>
      <c r="AD12" s="189" t="n"/>
      <c r="AE12" s="190" t="n"/>
      <c r="AF12" s="219" t="n"/>
      <c r="AG12" s="189" t="n"/>
      <c r="AH12" s="189" t="n"/>
      <c r="AI12" s="190" t="n"/>
    </row>
    <row r="13" ht="15" customFormat="1" customHeight="1" s="12">
      <c r="A13" s="13" t="n"/>
      <c r="B13" s="13" t="n"/>
      <c r="C13" s="190" t="n"/>
      <c r="D13" s="215" t="n"/>
      <c r="E13" s="189" t="n"/>
      <c r="F13" s="190" t="n"/>
      <c r="G13" s="13" t="n"/>
      <c r="H13" s="189" t="n"/>
      <c r="I13" s="190" t="n"/>
      <c r="J13" s="219" t="n"/>
      <c r="K13" s="189" t="n"/>
      <c r="L13" s="189" t="n"/>
      <c r="M13" s="189" t="n"/>
      <c r="N13" s="189" t="n"/>
      <c r="O13" s="189" t="n"/>
      <c r="P13" s="190" t="n"/>
      <c r="Q13" s="220" t="n"/>
      <c r="R13" s="189" t="n"/>
      <c r="S13" s="189" t="n"/>
      <c r="T13" s="189" t="n"/>
      <c r="U13" s="189" t="n"/>
      <c r="V13" s="189" t="n"/>
      <c r="W13" s="189" t="n"/>
      <c r="X13" s="189" t="n"/>
      <c r="Y13" s="189" t="n"/>
      <c r="Z13" s="189" t="n"/>
      <c r="AA13" s="189" t="n"/>
      <c r="AB13" s="189" t="n"/>
      <c r="AC13" s="189" t="n"/>
      <c r="AD13" s="189" t="n"/>
      <c r="AE13" s="190" t="n"/>
      <c r="AF13" s="219" t="n"/>
      <c r="AG13" s="189" t="n"/>
      <c r="AH13" s="189" t="n"/>
      <c r="AI13" s="190" t="n"/>
    </row>
    <row r="14" ht="15" customFormat="1" customHeight="1" s="12">
      <c r="A14" s="13" t="n"/>
      <c r="B14" s="13" t="n"/>
      <c r="C14" s="190" t="n"/>
      <c r="D14" s="215" t="n"/>
      <c r="E14" s="189" t="n"/>
      <c r="F14" s="190" t="n"/>
      <c r="G14" s="13" t="n"/>
      <c r="H14" s="189" t="n"/>
      <c r="I14" s="190" t="n"/>
      <c r="J14" s="219" t="n"/>
      <c r="K14" s="189" t="n"/>
      <c r="L14" s="189" t="n"/>
      <c r="M14" s="189" t="n"/>
      <c r="N14" s="189" t="n"/>
      <c r="O14" s="189" t="n"/>
      <c r="P14" s="190" t="n"/>
      <c r="Q14" s="220" t="n"/>
      <c r="R14" s="189" t="n"/>
      <c r="S14" s="189" t="n"/>
      <c r="T14" s="189" t="n"/>
      <c r="U14" s="189" t="n"/>
      <c r="V14" s="189" t="n"/>
      <c r="W14" s="189" t="n"/>
      <c r="X14" s="189" t="n"/>
      <c r="Y14" s="189" t="n"/>
      <c r="Z14" s="189" t="n"/>
      <c r="AA14" s="189" t="n"/>
      <c r="AB14" s="189" t="n"/>
      <c r="AC14" s="189" t="n"/>
      <c r="AD14" s="189" t="n"/>
      <c r="AE14" s="190" t="n"/>
      <c r="AF14" s="219" t="n"/>
      <c r="AG14" s="189" t="n"/>
      <c r="AH14" s="189" t="n"/>
      <c r="AI14" s="190" t="n"/>
    </row>
    <row r="15" ht="15" customFormat="1" customHeight="1" s="12">
      <c r="A15" s="13" t="n"/>
      <c r="B15" s="13" t="n"/>
      <c r="C15" s="190" t="n"/>
      <c r="D15" s="215" t="n"/>
      <c r="E15" s="189" t="n"/>
      <c r="F15" s="190" t="n"/>
      <c r="G15" s="13" t="n"/>
      <c r="H15" s="189" t="n"/>
      <c r="I15" s="190" t="n"/>
      <c r="J15" s="219" t="n"/>
      <c r="K15" s="189" t="n"/>
      <c r="L15" s="189" t="n"/>
      <c r="M15" s="189" t="n"/>
      <c r="N15" s="189" t="n"/>
      <c r="O15" s="189" t="n"/>
      <c r="P15" s="190" t="n"/>
      <c r="Q15" s="220" t="n"/>
      <c r="R15" s="189" t="n"/>
      <c r="S15" s="189" t="n"/>
      <c r="T15" s="189" t="n"/>
      <c r="U15" s="189" t="n"/>
      <c r="V15" s="189" t="n"/>
      <c r="W15" s="189" t="n"/>
      <c r="X15" s="189" t="n"/>
      <c r="Y15" s="189" t="n"/>
      <c r="Z15" s="189" t="n"/>
      <c r="AA15" s="189" t="n"/>
      <c r="AB15" s="189" t="n"/>
      <c r="AC15" s="189" t="n"/>
      <c r="AD15" s="189" t="n"/>
      <c r="AE15" s="190" t="n"/>
      <c r="AF15" s="219" t="n"/>
      <c r="AG15" s="189" t="n"/>
      <c r="AH15" s="189" t="n"/>
      <c r="AI15" s="190" t="n"/>
    </row>
    <row r="16" ht="15" customFormat="1" customHeight="1" s="12">
      <c r="A16" s="13" t="n"/>
      <c r="B16" s="13" t="n"/>
      <c r="C16" s="190" t="n"/>
      <c r="D16" s="215" t="n"/>
      <c r="E16" s="189" t="n"/>
      <c r="F16" s="190" t="n"/>
      <c r="G16" s="13" t="n"/>
      <c r="H16" s="189" t="n"/>
      <c r="I16" s="190" t="n"/>
      <c r="J16" s="219" t="n"/>
      <c r="K16" s="189" t="n"/>
      <c r="L16" s="189" t="n"/>
      <c r="M16" s="189" t="n"/>
      <c r="N16" s="189" t="n"/>
      <c r="O16" s="189" t="n"/>
      <c r="P16" s="190" t="n"/>
      <c r="Q16" s="220" t="n"/>
      <c r="R16" s="189" t="n"/>
      <c r="S16" s="189" t="n"/>
      <c r="T16" s="189" t="n"/>
      <c r="U16" s="189" t="n"/>
      <c r="V16" s="189" t="n"/>
      <c r="W16" s="189" t="n"/>
      <c r="X16" s="189" t="n"/>
      <c r="Y16" s="189" t="n"/>
      <c r="Z16" s="189" t="n"/>
      <c r="AA16" s="189" t="n"/>
      <c r="AB16" s="189" t="n"/>
      <c r="AC16" s="189" t="n"/>
      <c r="AD16" s="189" t="n"/>
      <c r="AE16" s="190" t="n"/>
      <c r="AF16" s="219" t="n"/>
      <c r="AG16" s="189" t="n"/>
      <c r="AH16" s="189" t="n"/>
      <c r="AI16" s="190" t="n"/>
    </row>
    <row r="17" ht="15" customFormat="1" customHeight="1" s="12">
      <c r="A17" s="13" t="n"/>
      <c r="B17" s="13" t="n"/>
      <c r="C17" s="190" t="n"/>
      <c r="D17" s="215" t="n"/>
      <c r="E17" s="189" t="n"/>
      <c r="F17" s="190" t="n"/>
      <c r="G17" s="13" t="n"/>
      <c r="H17" s="189" t="n"/>
      <c r="I17" s="190" t="n"/>
      <c r="J17" s="219" t="n"/>
      <c r="K17" s="189" t="n"/>
      <c r="L17" s="189" t="n"/>
      <c r="M17" s="189" t="n"/>
      <c r="N17" s="189" t="n"/>
      <c r="O17" s="189" t="n"/>
      <c r="P17" s="190" t="n"/>
      <c r="Q17" s="220" t="n"/>
      <c r="R17" s="189" t="n"/>
      <c r="S17" s="189" t="n"/>
      <c r="T17" s="189" t="n"/>
      <c r="U17" s="189" t="n"/>
      <c r="V17" s="189" t="n"/>
      <c r="W17" s="189" t="n"/>
      <c r="X17" s="189" t="n"/>
      <c r="Y17" s="189" t="n"/>
      <c r="Z17" s="189" t="n"/>
      <c r="AA17" s="189" t="n"/>
      <c r="AB17" s="189" t="n"/>
      <c r="AC17" s="189" t="n"/>
      <c r="AD17" s="189" t="n"/>
      <c r="AE17" s="190" t="n"/>
      <c r="AF17" s="219" t="n"/>
      <c r="AG17" s="189" t="n"/>
      <c r="AH17" s="189" t="n"/>
      <c r="AI17" s="190" t="n"/>
    </row>
    <row r="18" ht="15" customFormat="1" customHeight="1" s="12">
      <c r="A18" s="13" t="n"/>
      <c r="B18" s="13" t="n"/>
      <c r="C18" s="190" t="n"/>
      <c r="D18" s="215" t="n"/>
      <c r="E18" s="189" t="n"/>
      <c r="F18" s="190" t="n"/>
      <c r="G18" s="13" t="n"/>
      <c r="H18" s="189" t="n"/>
      <c r="I18" s="190" t="n"/>
      <c r="J18" s="219" t="n"/>
      <c r="K18" s="189" t="n"/>
      <c r="L18" s="189" t="n"/>
      <c r="M18" s="189" t="n"/>
      <c r="N18" s="189" t="n"/>
      <c r="O18" s="189" t="n"/>
      <c r="P18" s="190" t="n"/>
      <c r="Q18" s="220" t="n"/>
      <c r="R18" s="189" t="n"/>
      <c r="S18" s="189" t="n"/>
      <c r="T18" s="189" t="n"/>
      <c r="U18" s="189" t="n"/>
      <c r="V18" s="189" t="n"/>
      <c r="W18" s="189" t="n"/>
      <c r="X18" s="189" t="n"/>
      <c r="Y18" s="189" t="n"/>
      <c r="Z18" s="189" t="n"/>
      <c r="AA18" s="189" t="n"/>
      <c r="AB18" s="189" t="n"/>
      <c r="AC18" s="189" t="n"/>
      <c r="AD18" s="189" t="n"/>
      <c r="AE18" s="190" t="n"/>
      <c r="AF18" s="219" t="n"/>
      <c r="AG18" s="189" t="n"/>
      <c r="AH18" s="189" t="n"/>
      <c r="AI18" s="190" t="n"/>
    </row>
    <row r="19" ht="15" customFormat="1" customHeight="1" s="12">
      <c r="A19" s="13" t="n"/>
      <c r="B19" s="13" t="n"/>
      <c r="C19" s="190" t="n"/>
      <c r="D19" s="215" t="n"/>
      <c r="E19" s="189" t="n"/>
      <c r="F19" s="190" t="n"/>
      <c r="G19" s="13" t="n"/>
      <c r="H19" s="189" t="n"/>
      <c r="I19" s="190" t="n"/>
      <c r="J19" s="219" t="n"/>
      <c r="K19" s="189" t="n"/>
      <c r="L19" s="189" t="n"/>
      <c r="M19" s="189" t="n"/>
      <c r="N19" s="189" t="n"/>
      <c r="O19" s="189" t="n"/>
      <c r="P19" s="190" t="n"/>
      <c r="Q19" s="220" t="n"/>
      <c r="R19" s="189" t="n"/>
      <c r="S19" s="189" t="n"/>
      <c r="T19" s="189" t="n"/>
      <c r="U19" s="189" t="n"/>
      <c r="V19" s="189" t="n"/>
      <c r="W19" s="189" t="n"/>
      <c r="X19" s="189" t="n"/>
      <c r="Y19" s="189" t="n"/>
      <c r="Z19" s="189" t="n"/>
      <c r="AA19" s="189" t="n"/>
      <c r="AB19" s="189" t="n"/>
      <c r="AC19" s="189" t="n"/>
      <c r="AD19" s="189" t="n"/>
      <c r="AE19" s="190" t="n"/>
      <c r="AF19" s="219" t="n"/>
      <c r="AG19" s="189" t="n"/>
      <c r="AH19" s="189" t="n"/>
      <c r="AI19" s="190" t="n"/>
    </row>
    <row r="20" ht="15" customFormat="1" customHeight="1" s="12">
      <c r="A20" s="13" t="n"/>
      <c r="B20" s="13" t="n"/>
      <c r="C20" s="190" t="n"/>
      <c r="D20" s="215" t="n"/>
      <c r="E20" s="189" t="n"/>
      <c r="F20" s="190" t="n"/>
      <c r="G20" s="13" t="n"/>
      <c r="H20" s="189" t="n"/>
      <c r="I20" s="190" t="n"/>
      <c r="J20" s="219" t="n"/>
      <c r="K20" s="189" t="n"/>
      <c r="L20" s="189" t="n"/>
      <c r="M20" s="189" t="n"/>
      <c r="N20" s="189" t="n"/>
      <c r="O20" s="189" t="n"/>
      <c r="P20" s="190" t="n"/>
      <c r="Q20" s="220" t="n"/>
      <c r="R20" s="189" t="n"/>
      <c r="S20" s="189" t="n"/>
      <c r="T20" s="189" t="n"/>
      <c r="U20" s="189" t="n"/>
      <c r="V20" s="189" t="n"/>
      <c r="W20" s="189" t="n"/>
      <c r="X20" s="189" t="n"/>
      <c r="Y20" s="189" t="n"/>
      <c r="Z20" s="189" t="n"/>
      <c r="AA20" s="189" t="n"/>
      <c r="AB20" s="189" t="n"/>
      <c r="AC20" s="189" t="n"/>
      <c r="AD20" s="189" t="n"/>
      <c r="AE20" s="190" t="n"/>
      <c r="AF20" s="219" t="n"/>
      <c r="AG20" s="189" t="n"/>
      <c r="AH20" s="189" t="n"/>
      <c r="AI20" s="190" t="n"/>
    </row>
    <row r="21" ht="15" customFormat="1" customHeight="1" s="12">
      <c r="A21" s="13" t="n"/>
      <c r="B21" s="13" t="n"/>
      <c r="C21" s="190" t="n"/>
      <c r="D21" s="215" t="n"/>
      <c r="E21" s="189" t="n"/>
      <c r="F21" s="190" t="n"/>
      <c r="G21" s="13" t="n"/>
      <c r="H21" s="189" t="n"/>
      <c r="I21" s="190" t="n"/>
      <c r="J21" s="219" t="n"/>
      <c r="K21" s="189" t="n"/>
      <c r="L21" s="189" t="n"/>
      <c r="M21" s="189" t="n"/>
      <c r="N21" s="189" t="n"/>
      <c r="O21" s="189" t="n"/>
      <c r="P21" s="190" t="n"/>
      <c r="Q21" s="220" t="n"/>
      <c r="R21" s="189" t="n"/>
      <c r="S21" s="189" t="n"/>
      <c r="T21" s="189" t="n"/>
      <c r="U21" s="189" t="n"/>
      <c r="V21" s="189" t="n"/>
      <c r="W21" s="189" t="n"/>
      <c r="X21" s="189" t="n"/>
      <c r="Y21" s="189" t="n"/>
      <c r="Z21" s="189" t="n"/>
      <c r="AA21" s="189" t="n"/>
      <c r="AB21" s="189" t="n"/>
      <c r="AC21" s="189" t="n"/>
      <c r="AD21" s="189" t="n"/>
      <c r="AE21" s="190" t="n"/>
      <c r="AF21" s="219" t="n"/>
      <c r="AG21" s="189" t="n"/>
      <c r="AH21" s="189" t="n"/>
      <c r="AI21" s="190" t="n"/>
    </row>
    <row r="22" ht="15" customFormat="1" customHeight="1" s="12">
      <c r="A22" s="13" t="n"/>
      <c r="B22" s="13" t="n"/>
      <c r="C22" s="190" t="n"/>
      <c r="D22" s="215" t="n"/>
      <c r="E22" s="189" t="n"/>
      <c r="F22" s="190" t="n"/>
      <c r="G22" s="13" t="n"/>
      <c r="H22" s="189" t="n"/>
      <c r="I22" s="190" t="n"/>
      <c r="J22" s="219" t="n"/>
      <c r="K22" s="189" t="n"/>
      <c r="L22" s="189" t="n"/>
      <c r="M22" s="189" t="n"/>
      <c r="N22" s="189" t="n"/>
      <c r="O22" s="189" t="n"/>
      <c r="P22" s="190" t="n"/>
      <c r="Q22" s="220" t="n"/>
      <c r="R22" s="189" t="n"/>
      <c r="S22" s="189" t="n"/>
      <c r="T22" s="189" t="n"/>
      <c r="U22" s="189" t="n"/>
      <c r="V22" s="189" t="n"/>
      <c r="W22" s="189" t="n"/>
      <c r="X22" s="189" t="n"/>
      <c r="Y22" s="189" t="n"/>
      <c r="Z22" s="189" t="n"/>
      <c r="AA22" s="189" t="n"/>
      <c r="AB22" s="189" t="n"/>
      <c r="AC22" s="189" t="n"/>
      <c r="AD22" s="189" t="n"/>
      <c r="AE22" s="190" t="n"/>
      <c r="AF22" s="219" t="n"/>
      <c r="AG22" s="189" t="n"/>
      <c r="AH22" s="189" t="n"/>
      <c r="AI22" s="190" t="n"/>
    </row>
    <row r="23" ht="15" customFormat="1" customHeight="1" s="12">
      <c r="A23" s="13" t="n"/>
      <c r="B23" s="13" t="n"/>
      <c r="C23" s="190" t="n"/>
      <c r="D23" s="215" t="n"/>
      <c r="E23" s="189" t="n"/>
      <c r="F23" s="190" t="n"/>
      <c r="G23" s="13" t="n"/>
      <c r="H23" s="189" t="n"/>
      <c r="I23" s="190" t="n"/>
      <c r="J23" s="219" t="n"/>
      <c r="K23" s="189" t="n"/>
      <c r="L23" s="189" t="n"/>
      <c r="M23" s="189" t="n"/>
      <c r="N23" s="189" t="n"/>
      <c r="O23" s="189" t="n"/>
      <c r="P23" s="190" t="n"/>
      <c r="Q23" s="220" t="n"/>
      <c r="R23" s="189" t="n"/>
      <c r="S23" s="189" t="n"/>
      <c r="T23" s="189" t="n"/>
      <c r="U23" s="189" t="n"/>
      <c r="V23" s="189" t="n"/>
      <c r="W23" s="189" t="n"/>
      <c r="X23" s="189" t="n"/>
      <c r="Y23" s="189" t="n"/>
      <c r="Z23" s="189" t="n"/>
      <c r="AA23" s="189" t="n"/>
      <c r="AB23" s="189" t="n"/>
      <c r="AC23" s="189" t="n"/>
      <c r="AD23" s="189" t="n"/>
      <c r="AE23" s="190" t="n"/>
      <c r="AF23" s="219" t="n"/>
      <c r="AG23" s="189" t="n"/>
      <c r="AH23" s="189" t="n"/>
      <c r="AI23" s="190" t="n"/>
    </row>
    <row r="24" ht="15" customFormat="1" customHeight="1" s="12">
      <c r="A24" s="13" t="n"/>
      <c r="B24" s="13" t="n"/>
      <c r="C24" s="190" t="n"/>
      <c r="D24" s="215" t="n"/>
      <c r="E24" s="189" t="n"/>
      <c r="F24" s="190" t="n"/>
      <c r="G24" s="13" t="n"/>
      <c r="H24" s="189" t="n"/>
      <c r="I24" s="190" t="n"/>
      <c r="J24" s="219" t="n"/>
      <c r="K24" s="189" t="n"/>
      <c r="L24" s="189" t="n"/>
      <c r="M24" s="189" t="n"/>
      <c r="N24" s="189" t="n"/>
      <c r="O24" s="189" t="n"/>
      <c r="P24" s="190" t="n"/>
      <c r="Q24" s="220" t="n"/>
      <c r="R24" s="189" t="n"/>
      <c r="S24" s="189" t="n"/>
      <c r="T24" s="189" t="n"/>
      <c r="U24" s="189" t="n"/>
      <c r="V24" s="189" t="n"/>
      <c r="W24" s="189" t="n"/>
      <c r="X24" s="189" t="n"/>
      <c r="Y24" s="189" t="n"/>
      <c r="Z24" s="189" t="n"/>
      <c r="AA24" s="189" t="n"/>
      <c r="AB24" s="189" t="n"/>
      <c r="AC24" s="189" t="n"/>
      <c r="AD24" s="189" t="n"/>
      <c r="AE24" s="190" t="n"/>
      <c r="AF24" s="219" t="n"/>
      <c r="AG24" s="189" t="n"/>
      <c r="AH24" s="189" t="n"/>
      <c r="AI24" s="190" t="n"/>
    </row>
    <row r="25" ht="15" customFormat="1" customHeight="1" s="12">
      <c r="A25" s="13" t="n"/>
      <c r="B25" s="13" t="n"/>
      <c r="C25" s="190" t="n"/>
      <c r="D25" s="215" t="n"/>
      <c r="E25" s="189" t="n"/>
      <c r="F25" s="190" t="n"/>
      <c r="G25" s="13" t="n"/>
      <c r="H25" s="189" t="n"/>
      <c r="I25" s="190" t="n"/>
      <c r="J25" s="219" t="n"/>
      <c r="K25" s="189" t="n"/>
      <c r="L25" s="189" t="n"/>
      <c r="M25" s="189" t="n"/>
      <c r="N25" s="189" t="n"/>
      <c r="O25" s="189" t="n"/>
      <c r="P25" s="190" t="n"/>
      <c r="Q25" s="220" t="n"/>
      <c r="R25" s="189" t="n"/>
      <c r="S25" s="189" t="n"/>
      <c r="T25" s="189" t="n"/>
      <c r="U25" s="189" t="n"/>
      <c r="V25" s="189" t="n"/>
      <c r="W25" s="189" t="n"/>
      <c r="X25" s="189" t="n"/>
      <c r="Y25" s="189" t="n"/>
      <c r="Z25" s="189" t="n"/>
      <c r="AA25" s="189" t="n"/>
      <c r="AB25" s="189" t="n"/>
      <c r="AC25" s="189" t="n"/>
      <c r="AD25" s="189" t="n"/>
      <c r="AE25" s="190" t="n"/>
      <c r="AF25" s="219" t="n"/>
      <c r="AG25" s="189" t="n"/>
      <c r="AH25" s="189" t="n"/>
      <c r="AI25" s="190" t="n"/>
    </row>
    <row r="26" ht="15" customFormat="1" customHeight="1" s="12">
      <c r="A26" s="13" t="n"/>
      <c r="B26" s="13" t="n"/>
      <c r="C26" s="190" t="n"/>
      <c r="D26" s="215" t="n"/>
      <c r="E26" s="189" t="n"/>
      <c r="F26" s="190" t="n"/>
      <c r="G26" s="13" t="n"/>
      <c r="H26" s="189" t="n"/>
      <c r="I26" s="190" t="n"/>
      <c r="J26" s="219" t="n"/>
      <c r="K26" s="189" t="n"/>
      <c r="L26" s="189" t="n"/>
      <c r="M26" s="189" t="n"/>
      <c r="N26" s="189" t="n"/>
      <c r="O26" s="189" t="n"/>
      <c r="P26" s="190" t="n"/>
      <c r="Q26" s="220" t="n"/>
      <c r="R26" s="189" t="n"/>
      <c r="S26" s="189" t="n"/>
      <c r="T26" s="189" t="n"/>
      <c r="U26" s="189" t="n"/>
      <c r="V26" s="189" t="n"/>
      <c r="W26" s="189" t="n"/>
      <c r="X26" s="189" t="n"/>
      <c r="Y26" s="189" t="n"/>
      <c r="Z26" s="189" t="n"/>
      <c r="AA26" s="189" t="n"/>
      <c r="AB26" s="189" t="n"/>
      <c r="AC26" s="189" t="n"/>
      <c r="AD26" s="189" t="n"/>
      <c r="AE26" s="190" t="n"/>
      <c r="AF26" s="219" t="n"/>
      <c r="AG26" s="189" t="n"/>
      <c r="AH26" s="189" t="n"/>
      <c r="AI26" s="190" t="n"/>
    </row>
    <row r="27" ht="15" customFormat="1" customHeight="1" s="12">
      <c r="A27" s="13" t="n"/>
      <c r="B27" s="13" t="n"/>
      <c r="C27" s="190" t="n"/>
      <c r="D27" s="215" t="n"/>
      <c r="E27" s="189" t="n"/>
      <c r="F27" s="190" t="n"/>
      <c r="G27" s="13" t="n"/>
      <c r="H27" s="189" t="n"/>
      <c r="I27" s="190" t="n"/>
      <c r="J27" s="219" t="n"/>
      <c r="K27" s="189" t="n"/>
      <c r="L27" s="189" t="n"/>
      <c r="M27" s="189" t="n"/>
      <c r="N27" s="189" t="n"/>
      <c r="O27" s="189" t="n"/>
      <c r="P27" s="190" t="n"/>
      <c r="Q27" s="220" t="n"/>
      <c r="R27" s="189" t="n"/>
      <c r="S27" s="189" t="n"/>
      <c r="T27" s="189" t="n"/>
      <c r="U27" s="189" t="n"/>
      <c r="V27" s="189" t="n"/>
      <c r="W27" s="189" t="n"/>
      <c r="X27" s="189" t="n"/>
      <c r="Y27" s="189" t="n"/>
      <c r="Z27" s="189" t="n"/>
      <c r="AA27" s="189" t="n"/>
      <c r="AB27" s="189" t="n"/>
      <c r="AC27" s="189" t="n"/>
      <c r="AD27" s="189" t="n"/>
      <c r="AE27" s="190" t="n"/>
      <c r="AF27" s="219" t="n"/>
      <c r="AG27" s="189" t="n"/>
      <c r="AH27" s="189" t="n"/>
      <c r="AI27" s="190" t="n"/>
    </row>
    <row r="28" ht="15" customFormat="1" customHeight="1" s="12">
      <c r="A28" s="13" t="n"/>
      <c r="B28" s="13" t="n"/>
      <c r="C28" s="190" t="n"/>
      <c r="D28" s="215" t="n"/>
      <c r="E28" s="189" t="n"/>
      <c r="F28" s="190" t="n"/>
      <c r="G28" s="13" t="n"/>
      <c r="H28" s="189" t="n"/>
      <c r="I28" s="190" t="n"/>
      <c r="J28" s="219" t="n"/>
      <c r="K28" s="189" t="n"/>
      <c r="L28" s="189" t="n"/>
      <c r="M28" s="189" t="n"/>
      <c r="N28" s="189" t="n"/>
      <c r="O28" s="189" t="n"/>
      <c r="P28" s="190" t="n"/>
      <c r="Q28" s="220" t="n"/>
      <c r="R28" s="189" t="n"/>
      <c r="S28" s="189" t="n"/>
      <c r="T28" s="189" t="n"/>
      <c r="U28" s="189" t="n"/>
      <c r="V28" s="189" t="n"/>
      <c r="W28" s="189" t="n"/>
      <c r="X28" s="189" t="n"/>
      <c r="Y28" s="189" t="n"/>
      <c r="Z28" s="189" t="n"/>
      <c r="AA28" s="189" t="n"/>
      <c r="AB28" s="189" t="n"/>
      <c r="AC28" s="189" t="n"/>
      <c r="AD28" s="189" t="n"/>
      <c r="AE28" s="190" t="n"/>
      <c r="AF28" s="219" t="n"/>
      <c r="AG28" s="189" t="n"/>
      <c r="AH28" s="189" t="n"/>
      <c r="AI28" s="190" t="n"/>
    </row>
    <row r="29" ht="15" customFormat="1" customHeight="1" s="12">
      <c r="A29" s="13" t="n"/>
      <c r="B29" s="13" t="n"/>
      <c r="C29" s="190" t="n"/>
      <c r="D29" s="215" t="n"/>
      <c r="E29" s="189" t="n"/>
      <c r="F29" s="190" t="n"/>
      <c r="G29" s="13" t="n"/>
      <c r="H29" s="189" t="n"/>
      <c r="I29" s="190" t="n"/>
      <c r="J29" s="219" t="n"/>
      <c r="K29" s="189" t="n"/>
      <c r="L29" s="189" t="n"/>
      <c r="M29" s="189" t="n"/>
      <c r="N29" s="189" t="n"/>
      <c r="O29" s="189" t="n"/>
      <c r="P29" s="190" t="n"/>
      <c r="Q29" s="220" t="n"/>
      <c r="R29" s="189" t="n"/>
      <c r="S29" s="189" t="n"/>
      <c r="T29" s="189" t="n"/>
      <c r="U29" s="189" t="n"/>
      <c r="V29" s="189" t="n"/>
      <c r="W29" s="189" t="n"/>
      <c r="X29" s="189" t="n"/>
      <c r="Y29" s="189" t="n"/>
      <c r="Z29" s="189" t="n"/>
      <c r="AA29" s="189" t="n"/>
      <c r="AB29" s="189" t="n"/>
      <c r="AC29" s="189" t="n"/>
      <c r="AD29" s="189" t="n"/>
      <c r="AE29" s="190" t="n"/>
      <c r="AF29" s="219" t="n"/>
      <c r="AG29" s="189" t="n"/>
      <c r="AH29" s="189" t="n"/>
      <c r="AI29" s="190" t="n"/>
    </row>
    <row r="30" ht="15" customFormat="1" customHeight="1" s="12">
      <c r="A30" s="13" t="n"/>
      <c r="B30" s="13" t="n"/>
      <c r="C30" s="190" t="n"/>
      <c r="D30" s="215" t="n"/>
      <c r="E30" s="189" t="n"/>
      <c r="F30" s="190" t="n"/>
      <c r="G30" s="13" t="n"/>
      <c r="H30" s="189" t="n"/>
      <c r="I30" s="190" t="n"/>
      <c r="J30" s="219" t="n"/>
      <c r="K30" s="189" t="n"/>
      <c r="L30" s="189" t="n"/>
      <c r="M30" s="189" t="n"/>
      <c r="N30" s="189" t="n"/>
      <c r="O30" s="189" t="n"/>
      <c r="P30" s="190" t="n"/>
      <c r="Q30" s="220" t="n"/>
      <c r="R30" s="189" t="n"/>
      <c r="S30" s="189" t="n"/>
      <c r="T30" s="189" t="n"/>
      <c r="U30" s="189" t="n"/>
      <c r="V30" s="189" t="n"/>
      <c r="W30" s="189" t="n"/>
      <c r="X30" s="189" t="n"/>
      <c r="Y30" s="189" t="n"/>
      <c r="Z30" s="189" t="n"/>
      <c r="AA30" s="189" t="n"/>
      <c r="AB30" s="189" t="n"/>
      <c r="AC30" s="189" t="n"/>
      <c r="AD30" s="189" t="n"/>
      <c r="AE30" s="190" t="n"/>
      <c r="AF30" s="219" t="n"/>
      <c r="AG30" s="189" t="n"/>
      <c r="AH30" s="189" t="n"/>
      <c r="AI30" s="190" t="n"/>
    </row>
    <row r="31" ht="15" customFormat="1" customHeight="1" s="12">
      <c r="A31" s="13" t="n"/>
      <c r="B31" s="13" t="n"/>
      <c r="C31" s="190" t="n"/>
      <c r="D31" s="215" t="n"/>
      <c r="E31" s="189" t="n"/>
      <c r="F31" s="190" t="n"/>
      <c r="G31" s="13" t="n"/>
      <c r="H31" s="189" t="n"/>
      <c r="I31" s="190" t="n"/>
      <c r="J31" s="219" t="n"/>
      <c r="K31" s="189" t="n"/>
      <c r="L31" s="189" t="n"/>
      <c r="M31" s="189" t="n"/>
      <c r="N31" s="189" t="n"/>
      <c r="O31" s="189" t="n"/>
      <c r="P31" s="190" t="n"/>
      <c r="Q31" s="220" t="n"/>
      <c r="R31" s="189" t="n"/>
      <c r="S31" s="189" t="n"/>
      <c r="T31" s="189" t="n"/>
      <c r="U31" s="189" t="n"/>
      <c r="V31" s="189" t="n"/>
      <c r="W31" s="189" t="n"/>
      <c r="X31" s="189" t="n"/>
      <c r="Y31" s="189" t="n"/>
      <c r="Z31" s="189" t="n"/>
      <c r="AA31" s="189" t="n"/>
      <c r="AB31" s="189" t="n"/>
      <c r="AC31" s="189" t="n"/>
      <c r="AD31" s="189" t="n"/>
      <c r="AE31" s="190" t="n"/>
      <c r="AF31" s="219" t="n"/>
      <c r="AG31" s="189" t="n"/>
      <c r="AH31" s="189" t="n"/>
      <c r="AI31" s="190" t="n"/>
    </row>
    <row r="32" ht="15" customFormat="1" customHeight="1" s="12">
      <c r="A32" s="13" t="n"/>
      <c r="B32" s="13" t="n"/>
      <c r="C32" s="190" t="n"/>
      <c r="D32" s="215" t="n"/>
      <c r="E32" s="189" t="n"/>
      <c r="F32" s="190" t="n"/>
      <c r="G32" s="13" t="n"/>
      <c r="H32" s="189" t="n"/>
      <c r="I32" s="190" t="n"/>
      <c r="J32" s="219" t="n"/>
      <c r="K32" s="189" t="n"/>
      <c r="L32" s="189" t="n"/>
      <c r="M32" s="189" t="n"/>
      <c r="N32" s="189" t="n"/>
      <c r="O32" s="189" t="n"/>
      <c r="P32" s="190" t="n"/>
      <c r="Q32" s="220" t="n"/>
      <c r="R32" s="189" t="n"/>
      <c r="S32" s="189" t="n"/>
      <c r="T32" s="189" t="n"/>
      <c r="U32" s="189" t="n"/>
      <c r="V32" s="189" t="n"/>
      <c r="W32" s="189" t="n"/>
      <c r="X32" s="189" t="n"/>
      <c r="Y32" s="189" t="n"/>
      <c r="Z32" s="189" t="n"/>
      <c r="AA32" s="189" t="n"/>
      <c r="AB32" s="189" t="n"/>
      <c r="AC32" s="189" t="n"/>
      <c r="AD32" s="189" t="n"/>
      <c r="AE32" s="190" t="n"/>
      <c r="AF32" s="219" t="n"/>
      <c r="AG32" s="189" t="n"/>
      <c r="AH32" s="189" t="n"/>
      <c r="AI32" s="190" t="n"/>
    </row>
    <row r="33" ht="15" customFormat="1" customHeight="1" s="12">
      <c r="A33" s="13" t="n"/>
      <c r="B33" s="13" t="n"/>
      <c r="C33" s="190" t="n"/>
      <c r="D33" s="215" t="n"/>
      <c r="E33" s="189" t="n"/>
      <c r="F33" s="190" t="n"/>
      <c r="G33" s="13" t="n"/>
      <c r="H33" s="189" t="n"/>
      <c r="I33" s="190" t="n"/>
      <c r="J33" s="219" t="n"/>
      <c r="K33" s="189" t="n"/>
      <c r="L33" s="189" t="n"/>
      <c r="M33" s="189" t="n"/>
      <c r="N33" s="189" t="n"/>
      <c r="O33" s="189" t="n"/>
      <c r="P33" s="190" t="n"/>
      <c r="Q33" s="220" t="n"/>
      <c r="R33" s="189" t="n"/>
      <c r="S33" s="189" t="n"/>
      <c r="T33" s="189" t="n"/>
      <c r="U33" s="189" t="n"/>
      <c r="V33" s="189" t="n"/>
      <c r="W33" s="189" t="n"/>
      <c r="X33" s="189" t="n"/>
      <c r="Y33" s="189" t="n"/>
      <c r="Z33" s="189" t="n"/>
      <c r="AA33" s="189" t="n"/>
      <c r="AB33" s="189" t="n"/>
      <c r="AC33" s="189" t="n"/>
      <c r="AD33" s="189" t="n"/>
      <c r="AE33" s="190" t="n"/>
      <c r="AF33" s="219" t="n"/>
      <c r="AG33" s="189" t="n"/>
      <c r="AH33" s="189" t="n"/>
      <c r="AI33" s="190" t="n"/>
    </row>
    <row r="34" ht="14.25" customHeight="1">
      <c r="K34" s="32" t="n"/>
    </row>
  </sheetData>
  <mergeCells count="179">
    <mergeCell ref="D11:F11"/>
    <mergeCell ref="J31:P31"/>
    <mergeCell ref="AF23:AI23"/>
    <mergeCell ref="G13:I13"/>
    <mergeCell ref="S1:Z3"/>
    <mergeCell ref="Q19:AE19"/>
    <mergeCell ref="J21:P21"/>
    <mergeCell ref="AF7:AI7"/>
    <mergeCell ref="B22:C22"/>
    <mergeCell ref="B31:C31"/>
    <mergeCell ref="G15:I15"/>
    <mergeCell ref="B12:C12"/>
    <mergeCell ref="G24:I24"/>
    <mergeCell ref="B21:C21"/>
    <mergeCell ref="D28:F28"/>
    <mergeCell ref="J23:P23"/>
    <mergeCell ref="AF22:AI22"/>
    <mergeCell ref="AF18:AI18"/>
    <mergeCell ref="Q22:AE22"/>
    <mergeCell ref="D12:F12"/>
    <mergeCell ref="D9:F9"/>
    <mergeCell ref="B14:C14"/>
    <mergeCell ref="G26:I26"/>
    <mergeCell ref="D30:F30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Q16:AE16"/>
    <mergeCell ref="B24:C24"/>
    <mergeCell ref="J27:P27"/>
    <mergeCell ref="B33:C33"/>
    <mergeCell ref="AA2:AB2"/>
    <mergeCell ref="AF15:AI15"/>
    <mergeCell ref="O1:R3"/>
    <mergeCell ref="J11:P11"/>
    <mergeCell ref="A2:D2"/>
    <mergeCell ref="Q18:AE18"/>
    <mergeCell ref="B26:C26"/>
    <mergeCell ref="AF12:AI12"/>
    <mergeCell ref="J20:P20"/>
    <mergeCell ref="Q24:AE24"/>
    <mergeCell ref="B32:C32"/>
    <mergeCell ref="Q8:AE8"/>
    <mergeCell ref="AG2:AI2"/>
    <mergeCell ref="B16:C16"/>
    <mergeCell ref="D27:F27"/>
    <mergeCell ref="G28:I28"/>
    <mergeCell ref="J22:P22"/>
    <mergeCell ref="B25:C25"/>
    <mergeCell ref="AF32:AI32"/>
    <mergeCell ref="AF26:AI26"/>
    <mergeCell ref="D17:F17"/>
    <mergeCell ref="Q10:AE10"/>
    <mergeCell ref="J12:P12"/>
    <mergeCell ref="B18:C18"/>
    <mergeCell ref="AC2:AF2"/>
    <mergeCell ref="B27:C27"/>
    <mergeCell ref="G30:I30"/>
    <mergeCell ref="G14:I14"/>
    <mergeCell ref="B11:C11"/>
    <mergeCell ref="AF27:AI27"/>
    <mergeCell ref="Q9:AE9"/>
    <mergeCell ref="Q27:AE27"/>
    <mergeCell ref="J29:P29"/>
    <mergeCell ref="D25:F25"/>
    <mergeCell ref="AF24:AI24"/>
    <mergeCell ref="Q30:AE30"/>
    <mergeCell ref="AF33:AI33"/>
    <mergeCell ref="Q17:AE17"/>
    <mergeCell ref="Q11:AE11"/>
    <mergeCell ref="G32:I32"/>
    <mergeCell ref="B29:C29"/>
    <mergeCell ref="J15:P15"/>
    <mergeCell ref="J24:P24"/>
    <mergeCell ref="AF16:AI16"/>
    <mergeCell ref="AF25:AI25"/>
    <mergeCell ref="AG1:AI1"/>
    <mergeCell ref="Q12:AE12"/>
    <mergeCell ref="B15:C15"/>
    <mergeCell ref="G27:I27"/>
    <mergeCell ref="Q21:AE21"/>
    <mergeCell ref="AF9:AI9"/>
    <mergeCell ref="D31:F31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D32:F32"/>
    <mergeCell ref="AF31:AI31"/>
    <mergeCell ref="D7:F7"/>
    <mergeCell ref="Q26:AE26"/>
    <mergeCell ref="D16:F16"/>
    <mergeCell ref="AF28:AI28"/>
    <mergeCell ref="AF13:AI13"/>
    <mergeCell ref="D18:F18"/>
    <mergeCell ref="AG3:AI3"/>
    <mergeCell ref="G20:I20"/>
    <mergeCell ref="B17:C17"/>
    <mergeCell ref="D8:F8"/>
    <mergeCell ref="G29:I29"/>
    <mergeCell ref="J14:P14"/>
    <mergeCell ref="D33:F33"/>
    <mergeCell ref="J28:P28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AF10:AI10"/>
    <mergeCell ref="D20:F20"/>
    <mergeCell ref="E1:N1"/>
    <mergeCell ref="B30:C30"/>
    <mergeCell ref="Q28:AE28"/>
    <mergeCell ref="B20:C20"/>
    <mergeCell ref="G23:I23"/>
    <mergeCell ref="D22:F22"/>
    <mergeCell ref="G7:I7"/>
    <mergeCell ref="J32:P32"/>
    <mergeCell ref="D13:F13"/>
    <mergeCell ref="Q20:AE20"/>
    <mergeCell ref="AF8:AI8"/>
    <mergeCell ref="Q14:AE14"/>
    <mergeCell ref="Q29:AE29"/>
    <mergeCell ref="AF17:AI17"/>
    <mergeCell ref="Q23:AE23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E3:N3"/>
    <mergeCell ref="B23:C23"/>
    <mergeCell ref="B8:C8"/>
    <mergeCell ref="D15:F15"/>
    <mergeCell ref="J10:P10"/>
    <mergeCell ref="G25:I25"/>
    <mergeCell ref="D24:F24"/>
    <mergeCell ref="J19:P19"/>
    <mergeCell ref="J9:P9"/>
    <mergeCell ref="B10:C10"/>
    <mergeCell ref="AF29:AI29"/>
    <mergeCell ref="D26:F26"/>
    <mergeCell ref="G11:I11"/>
    <mergeCell ref="D10:F10"/>
    <mergeCell ref="Q25:AE25"/>
    <mergeCell ref="AA3:AB3"/>
    <mergeCell ref="D19:F19"/>
    <mergeCell ref="A3:D3"/>
    <mergeCell ref="Q33:AE33"/>
    <mergeCell ref="AF21:AI2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L49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5" customHeight="1"/>
  <cols>
    <col width="4.83203125" customWidth="1" style="33" min="1" max="16"/>
    <col width="4.83203125" customWidth="1" style="35" min="17" max="17"/>
    <col width="4.83203125" customWidth="1" style="33" min="18" max="33"/>
    <col width="4.83203125" customWidth="1" style="35" min="34" max="34"/>
    <col width="4.83203125" customWidth="1" style="33" min="35" max="256"/>
    <col width="4.83203125" customWidth="1" style="33" min="257" max="290"/>
    <col width="4.83203125" customWidth="1" style="33" min="291" max="512"/>
    <col width="4.83203125" customWidth="1" style="33" min="513" max="546"/>
    <col width="4.83203125" customWidth="1" style="33" min="547" max="768"/>
    <col width="4.83203125" customWidth="1" style="33" min="769" max="802"/>
    <col width="4.83203125" customWidth="1" style="33" min="803" max="1024"/>
    <col width="4.83203125" customWidth="1" style="33" min="1025" max="1058"/>
    <col width="4.83203125" customWidth="1" style="33" min="1059" max="1280"/>
    <col width="4.83203125" customWidth="1" style="33" min="1281" max="1314"/>
    <col width="4.83203125" customWidth="1" style="33" min="1315" max="1536"/>
    <col width="4.83203125" customWidth="1" style="33" min="1537" max="1570"/>
    <col width="4.83203125" customWidth="1" style="33" min="1571" max="1792"/>
    <col width="4.83203125" customWidth="1" style="33" min="1793" max="1826"/>
    <col width="4.83203125" customWidth="1" style="33" min="1827" max="2048"/>
    <col width="4.83203125" customWidth="1" style="33" min="2049" max="2082"/>
    <col width="4.83203125" customWidth="1" style="33" min="2083" max="2304"/>
    <col width="4.83203125" customWidth="1" style="33" min="2305" max="2338"/>
    <col width="4.83203125" customWidth="1" style="33" min="2339" max="2560"/>
    <col width="4.83203125" customWidth="1" style="33" min="2561" max="2594"/>
    <col width="4.83203125" customWidth="1" style="33" min="2595" max="2816"/>
    <col width="4.83203125" customWidth="1" style="33" min="2817" max="2850"/>
    <col width="4.83203125" customWidth="1" style="33" min="2851" max="3072"/>
    <col width="4.83203125" customWidth="1" style="33" min="3073" max="3106"/>
    <col width="4.83203125" customWidth="1" style="33" min="3107" max="3328"/>
    <col width="4.83203125" customWidth="1" style="33" min="3329" max="3362"/>
    <col width="4.83203125" customWidth="1" style="33" min="3363" max="3584"/>
    <col width="4.83203125" customWidth="1" style="33" min="3585" max="3618"/>
    <col width="4.83203125" customWidth="1" style="33" min="3619" max="3840"/>
    <col width="4.83203125" customWidth="1" style="33" min="3841" max="3874"/>
    <col width="4.83203125" customWidth="1" style="33" min="3875" max="4096"/>
    <col width="4.83203125" customWidth="1" style="33" min="4097" max="4130"/>
    <col width="4.83203125" customWidth="1" style="33" min="4131" max="4352"/>
    <col width="4.83203125" customWidth="1" style="33" min="4353" max="4386"/>
    <col width="4.83203125" customWidth="1" style="33" min="4387" max="4608"/>
    <col width="4.83203125" customWidth="1" style="33" min="4609" max="4642"/>
    <col width="4.83203125" customWidth="1" style="33" min="4643" max="4864"/>
    <col width="4.83203125" customWidth="1" style="33" min="4865" max="4898"/>
    <col width="4.83203125" customWidth="1" style="33" min="4899" max="5120"/>
    <col width="4.83203125" customWidth="1" style="33" min="5121" max="5154"/>
    <col width="4.83203125" customWidth="1" style="33" min="5155" max="5376"/>
    <col width="4.83203125" customWidth="1" style="33" min="5377" max="5410"/>
    <col width="4.83203125" customWidth="1" style="33" min="5411" max="5632"/>
    <col width="4.83203125" customWidth="1" style="33" min="5633" max="5666"/>
    <col width="4.83203125" customWidth="1" style="33" min="5667" max="5888"/>
    <col width="4.83203125" customWidth="1" style="33" min="5889" max="5922"/>
    <col width="4.83203125" customWidth="1" style="33" min="5923" max="6144"/>
    <col width="4.83203125" customWidth="1" style="33" min="6145" max="6178"/>
    <col width="4.83203125" customWidth="1" style="33" min="6179" max="6400"/>
    <col width="4.83203125" customWidth="1" style="33" min="6401" max="6434"/>
    <col width="4.83203125" customWidth="1" style="33" min="6435" max="6656"/>
    <col width="4.83203125" customWidth="1" style="33" min="6657" max="6690"/>
    <col width="4.83203125" customWidth="1" style="33" min="6691" max="6912"/>
    <col width="4.83203125" customWidth="1" style="33" min="6913" max="6946"/>
    <col width="4.83203125" customWidth="1" style="33" min="6947" max="7168"/>
    <col width="4.83203125" customWidth="1" style="33" min="7169" max="7202"/>
    <col width="4.83203125" customWidth="1" style="33" min="7203" max="7424"/>
    <col width="4.83203125" customWidth="1" style="33" min="7425" max="7458"/>
    <col width="4.83203125" customWidth="1" style="33" min="7459" max="7680"/>
    <col width="4.83203125" customWidth="1" style="33" min="7681" max="7714"/>
    <col width="4.83203125" customWidth="1" style="33" min="7715" max="7936"/>
    <col width="4.83203125" customWidth="1" style="33" min="7937" max="7970"/>
    <col width="4.83203125" customWidth="1" style="33" min="7971" max="8192"/>
    <col width="4.83203125" customWidth="1" style="33" min="8193" max="8226"/>
    <col width="4.83203125" customWidth="1" style="33" min="8227" max="8448"/>
    <col width="4.83203125" customWidth="1" style="33" min="8449" max="8482"/>
    <col width="4.83203125" customWidth="1" style="33" min="8483" max="8704"/>
    <col width="4.83203125" customWidth="1" style="33" min="8705" max="8738"/>
    <col width="4.83203125" customWidth="1" style="33" min="8739" max="8960"/>
    <col width="4.83203125" customWidth="1" style="33" min="8961" max="8994"/>
    <col width="4.83203125" customWidth="1" style="33" min="8995" max="9216"/>
    <col width="4.83203125" customWidth="1" style="33" min="9217" max="9250"/>
    <col width="4.83203125" customWidth="1" style="33" min="9251" max="9472"/>
    <col width="4.83203125" customWidth="1" style="33" min="9473" max="9506"/>
    <col width="4.83203125" customWidth="1" style="33" min="9507" max="9728"/>
    <col width="4.83203125" customWidth="1" style="33" min="9729" max="9762"/>
    <col width="4.83203125" customWidth="1" style="33" min="9763" max="9984"/>
    <col width="4.83203125" customWidth="1" style="33" min="9985" max="10018"/>
    <col width="4.83203125" customWidth="1" style="33" min="10019" max="10240"/>
    <col width="4.83203125" customWidth="1" style="33" min="10241" max="10274"/>
    <col width="4.83203125" customWidth="1" style="33" min="10275" max="10496"/>
    <col width="4.83203125" customWidth="1" style="33" min="10497" max="10530"/>
    <col width="4.83203125" customWidth="1" style="33" min="10531" max="10752"/>
    <col width="4.83203125" customWidth="1" style="33" min="10753" max="10786"/>
    <col width="4.83203125" customWidth="1" style="33" min="10787" max="11008"/>
    <col width="4.83203125" customWidth="1" style="33" min="11009" max="11042"/>
    <col width="4.83203125" customWidth="1" style="33" min="11043" max="11264"/>
    <col width="4.83203125" customWidth="1" style="33" min="11265" max="11298"/>
    <col width="4.83203125" customWidth="1" style="33" min="11299" max="11520"/>
    <col width="4.83203125" customWidth="1" style="33" min="11521" max="11554"/>
    <col width="4.83203125" customWidth="1" style="33" min="11555" max="11776"/>
    <col width="4.83203125" customWidth="1" style="33" min="11777" max="11810"/>
    <col width="4.83203125" customWidth="1" style="33" min="11811" max="12032"/>
    <col width="4.83203125" customWidth="1" style="33" min="12033" max="12066"/>
    <col width="4.83203125" customWidth="1" style="33" min="12067" max="12288"/>
    <col width="4.83203125" customWidth="1" style="33" min="12289" max="12322"/>
    <col width="4.83203125" customWidth="1" style="33" min="12323" max="12544"/>
    <col width="4.83203125" customWidth="1" style="33" min="12545" max="12578"/>
    <col width="4.83203125" customWidth="1" style="33" min="12579" max="12800"/>
    <col width="4.83203125" customWidth="1" style="33" min="12801" max="12834"/>
    <col width="4.83203125" customWidth="1" style="33" min="12835" max="13056"/>
    <col width="4.83203125" customWidth="1" style="33" min="13057" max="13090"/>
    <col width="4.83203125" customWidth="1" style="33" min="13091" max="13312"/>
    <col width="4.83203125" customWidth="1" style="33" min="13313" max="13346"/>
    <col width="4.83203125" customWidth="1" style="33" min="13347" max="13568"/>
    <col width="4.83203125" customWidth="1" style="33" min="13569" max="13602"/>
    <col width="4.83203125" customWidth="1" style="33" min="13603" max="13824"/>
    <col width="4.83203125" customWidth="1" style="33" min="13825" max="13858"/>
    <col width="4.83203125" customWidth="1" style="33" min="13859" max="14080"/>
    <col width="4.83203125" customWidth="1" style="33" min="14081" max="14114"/>
    <col width="4.83203125" customWidth="1" style="33" min="14115" max="14336"/>
    <col width="4.83203125" customWidth="1" style="33" min="14337" max="14370"/>
    <col width="4.83203125" customWidth="1" style="33" min="14371" max="14592"/>
    <col width="4.83203125" customWidth="1" style="33" min="14593" max="14626"/>
    <col width="4.83203125" customWidth="1" style="33" min="14627" max="14848"/>
    <col width="4.83203125" customWidth="1" style="33" min="14849" max="14882"/>
    <col width="4.83203125" customWidth="1" style="33" min="14883" max="15104"/>
    <col width="4.83203125" customWidth="1" style="33" min="15105" max="15138"/>
    <col width="4.83203125" customWidth="1" style="33" min="15139" max="15360"/>
    <col width="4.83203125" customWidth="1" style="33" min="15361" max="15394"/>
    <col width="4.83203125" customWidth="1" style="33" min="15395" max="15616"/>
    <col width="4.83203125" customWidth="1" style="33" min="15617" max="15650"/>
    <col width="4.83203125" customWidth="1" style="33" min="15651" max="15872"/>
    <col width="4.83203125" customWidth="1" style="33" min="15873" max="15906"/>
    <col width="4.83203125" customWidth="1" style="33" min="15907" max="16128"/>
    <col width="4.83203125" customWidth="1" style="33" min="16129" max="16162"/>
    <col width="4.83203125" customWidth="1" style="33" min="16163" max="16384"/>
  </cols>
  <sheetData>
    <row r="1" ht="12" customFormat="1" customHeight="1" s="3">
      <c r="A1" s="192" t="inlineStr">
        <is>
          <t>PJ名</t>
        </is>
      </c>
      <c r="B1" s="189" t="n"/>
      <c r="C1" s="189" t="n"/>
      <c r="D1" s="190" t="n"/>
      <c r="E1" s="198">
        <f>IF(INDIRECT("変更履歴!E1")&lt;&gt;"",INDIRECT("変更履歴!E1"),"")</f>
        <v/>
      </c>
      <c r="F1" s="189" t="n"/>
      <c r="G1" s="189" t="n"/>
      <c r="H1" s="189" t="n"/>
      <c r="I1" s="189" t="n"/>
      <c r="J1" s="189" t="n"/>
      <c r="K1" s="189" t="n"/>
      <c r="L1" s="189" t="n"/>
      <c r="M1" s="189" t="n"/>
      <c r="N1" s="190" t="n"/>
      <c r="O1" s="192" t="inlineStr">
        <is>
          <t>成果物名</t>
        </is>
      </c>
      <c r="P1" s="193" t="n"/>
      <c r="Q1" s="193" t="n"/>
      <c r="R1" s="194" t="n"/>
      <c r="S1" s="201">
        <f>IF(INDIRECT("変更履歴!S1")&lt;&gt;"",INDIRECT("変更履歴!S1"),"")</f>
        <v/>
      </c>
      <c r="T1" s="193" t="n"/>
      <c r="U1" s="193" t="n"/>
      <c r="V1" s="193" t="n"/>
      <c r="W1" s="193" t="n"/>
      <c r="X1" s="193" t="n"/>
      <c r="Y1" s="193" t="n"/>
      <c r="Z1" s="194" t="n"/>
      <c r="AA1" s="221" t="inlineStr">
        <is>
          <t>作成</t>
        </is>
      </c>
      <c r="AB1" s="190" t="n"/>
      <c r="AC1" s="196">
        <f>IF(INDIRECT("変更履歴!AC1")&lt;&gt;"",INDIRECT("変更履歴!AC1"),"")</f>
        <v/>
      </c>
      <c r="AD1" s="189" t="n"/>
      <c r="AE1" s="189" t="n"/>
      <c r="AF1" s="190" t="n"/>
      <c r="AG1" s="222">
        <f>IF(INDIRECT("変更履歴!AG1")&lt;&gt;"",INDIRECT("変更履歴!AG1"),"")</f>
        <v/>
      </c>
      <c r="AH1" s="189" t="n"/>
      <c r="AI1" s="190" t="n"/>
      <c r="AJ1" s="1" t="n"/>
      <c r="AK1" s="1" t="n"/>
      <c r="AL1" s="2" t="n"/>
    </row>
    <row r="2" ht="12" customFormat="1" customHeight="1" s="3">
      <c r="A2" s="192" t="inlineStr">
        <is>
          <t>システム名</t>
        </is>
      </c>
      <c r="B2" s="189" t="n"/>
      <c r="C2" s="189" t="n"/>
      <c r="D2" s="190" t="n"/>
      <c r="E2" s="198">
        <f>IF(INDIRECT("変更履歴!E2")&lt;&gt;"",INDIRECT("変更履歴!E2"),"")</f>
        <v/>
      </c>
      <c r="F2" s="189" t="n"/>
      <c r="G2" s="189" t="n"/>
      <c r="H2" s="189" t="n"/>
      <c r="I2" s="189" t="n"/>
      <c r="J2" s="189" t="n"/>
      <c r="K2" s="189" t="n"/>
      <c r="L2" s="189" t="n"/>
      <c r="M2" s="189" t="n"/>
      <c r="N2" s="190" t="n"/>
      <c r="O2" s="199" t="n"/>
      <c r="R2" s="200" t="n"/>
      <c r="S2" s="199" t="n"/>
      <c r="Z2" s="200" t="n"/>
      <c r="AA2" s="221" t="inlineStr">
        <is>
          <t>変更</t>
        </is>
      </c>
      <c r="AB2" s="190" t="n"/>
      <c r="AC2" s="196">
        <f>IF(INDIRECT("変更履歴!AC2")&lt;&gt;"",INDIRECT("変更履歴!AC2"),"")</f>
        <v/>
      </c>
      <c r="AD2" s="189" t="n"/>
      <c r="AE2" s="189" t="n"/>
      <c r="AF2" s="190" t="n"/>
      <c r="AG2" s="222">
        <f>IF(INDIRECT("変更履歴!AG2")&lt;&gt;"",INDIRECT("変更履歴!AG2"),"")</f>
        <v/>
      </c>
      <c r="AH2" s="189" t="n"/>
      <c r="AI2" s="190" t="n"/>
      <c r="AJ2" s="1" t="n"/>
      <c r="AK2" s="1" t="n"/>
      <c r="AL2" s="1" t="n"/>
    </row>
    <row r="3" ht="12" customFormat="1" customHeight="1" s="3">
      <c r="A3" s="192" t="inlineStr">
        <is>
          <t>サブシステム名</t>
        </is>
      </c>
      <c r="B3" s="189" t="n"/>
      <c r="C3" s="189" t="n"/>
      <c r="D3" s="190" t="n"/>
      <c r="E3" s="198">
        <f>IF(INDIRECT("変更履歴!E3")&lt;&gt;"",INDIRECT("変更履歴!E3"),"")</f>
        <v/>
      </c>
      <c r="F3" s="189" t="n"/>
      <c r="G3" s="189" t="n"/>
      <c r="H3" s="189" t="n"/>
      <c r="I3" s="189" t="n"/>
      <c r="J3" s="189" t="n"/>
      <c r="K3" s="189" t="n"/>
      <c r="L3" s="189" t="n"/>
      <c r="M3" s="189" t="n"/>
      <c r="N3" s="190" t="n"/>
      <c r="O3" s="202" t="n"/>
      <c r="P3" s="203" t="n"/>
      <c r="Q3" s="203" t="n"/>
      <c r="R3" s="204" t="n"/>
      <c r="S3" s="202" t="n"/>
      <c r="T3" s="203" t="n"/>
      <c r="U3" s="203" t="n"/>
      <c r="V3" s="203" t="n"/>
      <c r="W3" s="203" t="n"/>
      <c r="X3" s="203" t="n"/>
      <c r="Y3" s="203" t="n"/>
      <c r="Z3" s="204" t="n"/>
      <c r="AA3" s="221" t="n"/>
      <c r="AB3" s="190" t="n"/>
      <c r="AC3" s="196">
        <f>IF(INDIRECT("変更履歴!AC3")&lt;&gt;"",INDIRECT("変更履歴!AC3"),"")</f>
        <v/>
      </c>
      <c r="AD3" s="189" t="n"/>
      <c r="AE3" s="189" t="n"/>
      <c r="AF3" s="190" t="n"/>
      <c r="AG3" s="222">
        <f>IF(INDIRECT("変更履歴!AG3")&lt;&gt;"",INDIRECT("変更履歴!AG3"),"")</f>
        <v/>
      </c>
      <c r="AH3" s="189" t="n"/>
      <c r="AI3" s="190" t="n"/>
      <c r="AJ3" s="1" t="n"/>
      <c r="AK3" s="1" t="n"/>
      <c r="AL3" s="1" t="n"/>
    </row>
    <row r="4" ht="19.5" customFormat="1" customHeight="1" s="39">
      <c r="AC4" s="40" t="n"/>
    </row>
    <row r="5" ht="15" customFormat="1" customHeight="1" s="39">
      <c r="Q5" s="41" t="inlineStr">
        <is>
          <t>目次</t>
        </is>
      </c>
      <c r="AC5" s="40" t="n"/>
    </row>
    <row r="6" ht="15" customFormat="1" customHeight="1" s="39">
      <c r="N6" s="41" t="n"/>
      <c r="AC6" s="40" t="n"/>
    </row>
    <row r="7" ht="15" customFormat="1" customHeight="1" s="39">
      <c r="B7" s="38" t="n"/>
      <c r="C7" s="39" t="inlineStr">
        <is>
          <t>1. 概要</t>
        </is>
      </c>
      <c r="P7" s="40" t="n"/>
      <c r="R7" s="40" t="n"/>
      <c r="AG7" s="40" t="n"/>
      <c r="AH7" s="42" t="n"/>
    </row>
    <row r="8" ht="15" customFormat="1" customHeight="1" s="39">
      <c r="D8" s="39" t="inlineStr">
        <is>
          <t>1.1. 本書の位置づけ</t>
        </is>
      </c>
      <c r="P8" s="40" t="n"/>
      <c r="R8" s="40" t="n"/>
      <c r="AF8" s="40" t="n"/>
      <c r="AG8" s="40" t="n"/>
      <c r="AH8" s="42" t="n"/>
    </row>
    <row r="9" ht="15" customFormat="1" customHeight="1" s="39">
      <c r="B9" s="38" t="n"/>
      <c r="D9" s="38" t="inlineStr">
        <is>
          <t>1.2. 本書におけるJakartaEE仕様への読み替えについて</t>
        </is>
      </c>
      <c r="P9" s="40" t="n"/>
      <c r="R9" s="40" t="n"/>
      <c r="AH9" s="42" t="n"/>
    </row>
    <row r="10" ht="15" customFormat="1" customHeight="1" s="39">
      <c r="B10" s="38" t="n"/>
      <c r="D10" s="38" t="n"/>
      <c r="P10" s="40" t="n"/>
      <c r="R10" s="40" t="n"/>
      <c r="AH10" s="42" t="n"/>
    </row>
    <row r="11" ht="15" customFormat="1" customHeight="1" s="39">
      <c r="C11" s="38" t="inlineStr">
        <is>
          <t>2. 設計書について</t>
        </is>
      </c>
      <c r="P11" s="40" t="n"/>
      <c r="R11" s="40" t="n"/>
      <c r="AG11" s="40" t="n"/>
      <c r="AH11" s="42" t="n"/>
    </row>
    <row r="12" ht="15" customFormat="1" customHeight="1" s="39">
      <c r="D12" s="38" t="inlineStr">
        <is>
          <t>2.1. 設計書体系図</t>
        </is>
      </c>
      <c r="P12" s="40" t="n"/>
      <c r="R12" s="40" t="n"/>
      <c r="V12" s="38" t="n"/>
      <c r="AG12" s="40" t="n"/>
      <c r="AH12" s="42" t="n"/>
    </row>
    <row r="13" ht="15" customFormat="1" customHeight="1" s="39">
      <c r="D13" s="38" t="inlineStr">
        <is>
          <t>2.2. 設計書一覧</t>
        </is>
      </c>
      <c r="P13" s="40" t="n"/>
      <c r="R13" s="40" t="n"/>
      <c r="V13" s="38" t="n"/>
      <c r="AG13" s="40" t="n"/>
      <c r="AH13" s="42" t="n"/>
    </row>
    <row r="14" ht="15" customFormat="1" customHeight="1" s="39">
      <c r="D14" s="38" t="n"/>
      <c r="N14" s="38" t="n"/>
      <c r="P14" s="40" t="n"/>
      <c r="R14" s="40" t="n"/>
      <c r="V14" s="38" t="n"/>
      <c r="AG14" s="40" t="n"/>
      <c r="AH14" s="42" t="n"/>
    </row>
    <row r="15" ht="15" customFormat="1" customHeight="1" s="39">
      <c r="C15" s="38" t="inlineStr">
        <is>
          <t>3. 設計書とソースコードの対応</t>
        </is>
      </c>
      <c r="D15" s="38" t="n"/>
      <c r="Q15" s="47" t="n"/>
      <c r="AG15" s="40" t="n"/>
      <c r="AH15" s="42" t="n"/>
    </row>
    <row r="16" ht="15" customFormat="1" customHeight="1" s="39">
      <c r="Q16" s="47" t="n"/>
      <c r="V16" s="38" t="n"/>
      <c r="AG16" s="40" t="n"/>
      <c r="AH16" s="42" t="n"/>
    </row>
    <row r="17" ht="15" customFormat="1" customHeight="1" s="39">
      <c r="B17" s="47" t="n"/>
      <c r="P17" s="40" t="n"/>
      <c r="AG17" s="40" t="n"/>
      <c r="AH17" s="42" t="n"/>
    </row>
    <row r="18" ht="15" customFormat="1" customHeight="1" s="39">
      <c r="D18" s="38" t="n"/>
      <c r="P18" s="40" t="n"/>
      <c r="AG18" s="40" t="n"/>
      <c r="AH18" s="42" t="n"/>
    </row>
    <row r="19" ht="15" customFormat="1" customHeight="1" s="39">
      <c r="P19" s="40" t="n"/>
      <c r="AG19" s="40" t="n"/>
      <c r="AH19" s="42" t="n"/>
    </row>
    <row r="20" ht="15" customFormat="1" customHeight="1" s="39">
      <c r="P20" s="40" t="n"/>
      <c r="AG20" s="40" t="n"/>
      <c r="AH20" s="42" t="n"/>
    </row>
    <row r="21" ht="15" customFormat="1" customHeight="1" s="39">
      <c r="P21" s="40" t="n"/>
      <c r="AG21" s="40" t="n"/>
      <c r="AH21" s="42" t="n"/>
    </row>
    <row r="22" ht="15" customFormat="1" customHeight="1" s="39">
      <c r="P22" s="40" t="n"/>
      <c r="AG22" s="40" t="n"/>
      <c r="AH22" s="42" t="n"/>
    </row>
    <row r="23" ht="15" customFormat="1" customHeight="1" s="39">
      <c r="B23" s="47" t="n"/>
      <c r="P23" s="40" t="n"/>
      <c r="AG23" s="40" t="n"/>
      <c r="AH23" s="42" t="n"/>
    </row>
    <row r="24" ht="15" customFormat="1" customHeight="1" s="39">
      <c r="P24" s="40" t="n"/>
      <c r="AG24" s="40" t="n"/>
      <c r="AH24" s="42" t="n"/>
    </row>
    <row r="25" ht="15" customFormat="1" customHeight="1" s="39">
      <c r="P25" s="40" t="n"/>
      <c r="AG25" s="40" t="n"/>
      <c r="AH25" s="42" t="n"/>
    </row>
    <row r="26" ht="15" customFormat="1" customHeight="1" s="39">
      <c r="P26" s="40" t="n"/>
      <c r="AG26" s="40" t="n"/>
      <c r="AH26" s="42" t="n"/>
    </row>
    <row r="27" ht="15" customFormat="1" customHeight="1" s="39">
      <c r="P27" s="40" t="n"/>
      <c r="AG27" s="40" t="n"/>
      <c r="AH27" s="42" t="n"/>
    </row>
    <row r="28" ht="15" customFormat="1" customHeight="1" s="39">
      <c r="P28" s="40" t="n"/>
      <c r="AG28" s="40" t="n"/>
      <c r="AH28" s="42" t="n"/>
    </row>
    <row r="29" ht="15" customFormat="1" customHeight="1" s="39">
      <c r="P29" s="40" t="n"/>
      <c r="AG29" s="40" t="n"/>
      <c r="AH29" s="42" t="n"/>
    </row>
    <row r="30" ht="15" customFormat="1" customHeight="1" s="39">
      <c r="P30" s="40" t="n"/>
      <c r="AG30" s="40" t="n"/>
      <c r="AH30" s="42" t="n"/>
    </row>
    <row r="31" ht="15" customFormat="1" customHeight="1" s="39">
      <c r="C31" s="40" t="n"/>
      <c r="P31" s="40" t="n"/>
      <c r="Q31" s="42" t="n"/>
      <c r="S31" s="44" t="n"/>
      <c r="AG31" s="40" t="n"/>
      <c r="AH31" s="42" t="n"/>
    </row>
    <row r="32" ht="15" customFormat="1" customHeight="1" s="39">
      <c r="K32" s="45" t="n"/>
      <c r="P32" s="46" t="n"/>
      <c r="Q32" s="42" t="n"/>
      <c r="S32" s="44" t="n"/>
      <c r="AG32" s="40" t="n"/>
      <c r="AH32" s="42" t="n"/>
    </row>
    <row r="33" ht="15" customFormat="1" customHeight="1" s="39">
      <c r="P33" s="46" t="n"/>
      <c r="Q33" s="42" t="n"/>
      <c r="AG33" s="40" t="n"/>
      <c r="AH33" s="42" t="n"/>
    </row>
    <row r="34" ht="15" customFormat="1" customHeight="1" s="39">
      <c r="K34" s="45" t="n"/>
      <c r="P34" s="46" t="n"/>
      <c r="Q34" s="42" t="n"/>
      <c r="S34" s="44" t="n"/>
      <c r="AG34" s="40" t="n"/>
      <c r="AH34" s="42" t="n"/>
    </row>
    <row r="35" ht="15" customFormat="1" customHeight="1" s="39">
      <c r="P35" s="46" t="n"/>
      <c r="Q35" s="42" t="n"/>
      <c r="U35" s="47" t="n"/>
      <c r="AG35" s="40" t="n"/>
      <c r="AH35" s="42" t="n"/>
    </row>
    <row r="36" ht="15" customFormat="1" customHeight="1" s="39">
      <c r="P36" s="46" t="n"/>
      <c r="Q36" s="42" t="n"/>
      <c r="AH36" s="42" t="n"/>
    </row>
    <row r="37" ht="15" customHeight="1">
      <c r="P37" s="34" t="n"/>
      <c r="U37" s="36" t="n"/>
      <c r="AG37" s="37" t="n"/>
    </row>
    <row r="38" ht="15" customHeight="1">
      <c r="U38" s="36" t="n"/>
      <c r="AF38" s="37" t="n"/>
      <c r="AG38" s="34" t="n"/>
    </row>
    <row r="39" ht="15" customHeight="1">
      <c r="T39" s="36" t="n"/>
      <c r="AF39" s="37" t="n"/>
      <c r="AG39" s="37" t="n"/>
    </row>
    <row r="40" ht="15" customHeight="1">
      <c r="AG40" s="34" t="n"/>
    </row>
    <row r="41" ht="15" customHeight="1">
      <c r="AG41" s="34" t="n"/>
    </row>
    <row r="42" ht="15" customHeight="1">
      <c r="AF42" s="37" t="n"/>
      <c r="AG42" s="34" t="n"/>
    </row>
    <row r="43" ht="15" customHeight="1">
      <c r="AF43" s="37" t="n"/>
      <c r="AG43" s="37" t="n"/>
    </row>
    <row r="44" ht="15" customHeight="1">
      <c r="AF44" s="37" t="n"/>
      <c r="AG44" s="37" t="n"/>
    </row>
    <row r="45" ht="15" customHeight="1">
      <c r="AG45" s="37" t="n"/>
    </row>
    <row r="46" ht="15" customHeight="1">
      <c r="AF46" s="37" t="n"/>
      <c r="AG46" s="37" t="n"/>
    </row>
    <row r="47" ht="15" customHeight="1">
      <c r="AG47" s="37" t="n"/>
    </row>
    <row r="49" ht="15" customHeight="1">
      <c r="AG49" s="37" t="n"/>
    </row>
  </sheetData>
  <mergeCells count="17">
    <mergeCell ref="A1:D1"/>
    <mergeCell ref="AG2:AI2"/>
    <mergeCell ref="AA3:AB3"/>
    <mergeCell ref="AG1:AI1"/>
    <mergeCell ref="AA2:AB2"/>
    <mergeCell ref="AC3:AF3"/>
    <mergeCell ref="S1:Z3"/>
    <mergeCell ref="A3:D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4.xml><?xml version="1.0" encoding="utf-8"?>
<worksheet xmlns="http://schemas.openxmlformats.org/spreadsheetml/2006/main">
  <sheetPr codeName="Sheet6">
    <outlinePr summaryBelow="1" summaryRight="1"/>
    <pageSetUpPr fitToPage="1"/>
  </sheetPr>
  <dimension ref="A1:AX35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0" min="1" max="31"/>
    <col width="4.83203125" customWidth="1" style="10" min="32" max="16384"/>
  </cols>
  <sheetData>
    <row r="1" ht="12" customFormat="1" customHeight="1" s="3">
      <c r="A1" s="192" t="inlineStr">
        <is>
          <t>PJ名</t>
        </is>
      </c>
      <c r="B1" s="189" t="n"/>
      <c r="C1" s="189" t="n"/>
      <c r="D1" s="190" t="n"/>
      <c r="E1" s="198">
        <f>IF(INDIRECT("変更履歴!E1")&lt;&gt;"",INDIRECT("変更履歴!E1"),"")</f>
        <v/>
      </c>
      <c r="F1" s="189" t="n"/>
      <c r="G1" s="189" t="n"/>
      <c r="H1" s="189" t="n"/>
      <c r="I1" s="189" t="n"/>
      <c r="J1" s="189" t="n"/>
      <c r="K1" s="189" t="n"/>
      <c r="L1" s="189" t="n"/>
      <c r="M1" s="189" t="n"/>
      <c r="N1" s="190" t="n"/>
      <c r="O1" s="223" t="inlineStr">
        <is>
          <t>成果物名</t>
        </is>
      </c>
      <c r="P1" s="193" t="n"/>
      <c r="Q1" s="193" t="n"/>
      <c r="R1" s="194" t="n"/>
      <c r="S1" s="224">
        <f>IF(INDIRECT("変更履歴!S1")&lt;&gt;"",INDIRECT("変更履歴!S1"),"")</f>
        <v/>
      </c>
      <c r="T1" s="193" t="n"/>
      <c r="U1" s="193" t="n"/>
      <c r="V1" s="193" t="n"/>
      <c r="W1" s="193" t="n"/>
      <c r="X1" s="193" t="n"/>
      <c r="Y1" s="193" t="n"/>
      <c r="Z1" s="194" t="n"/>
      <c r="AA1" s="192" t="inlineStr">
        <is>
          <t>作成</t>
        </is>
      </c>
      <c r="AB1" s="190" t="n"/>
      <c r="AC1" s="196">
        <f>IF(INDIRECT("変更履歴!AC1")&lt;&gt;"",INDIRECT("変更履歴!AC1"),"")</f>
        <v/>
      </c>
      <c r="AD1" s="189" t="n"/>
      <c r="AE1" s="189" t="n"/>
      <c r="AF1" s="190" t="n"/>
      <c r="AG1" s="222">
        <f>IF(INDIRECT("変更履歴!AG1")&lt;&gt;"",INDIRECT("変更履歴!AG1"),"")</f>
        <v/>
      </c>
      <c r="AH1" s="189" t="n"/>
      <c r="AI1" s="190" t="n"/>
      <c r="AJ1" s="6" t="n"/>
      <c r="AN1" s="7" t="n"/>
      <c r="AO1" s="6" t="n"/>
      <c r="AP1" s="6" t="n"/>
      <c r="AQ1" s="6" t="n"/>
      <c r="AR1" s="6" t="n"/>
      <c r="AS1" s="225" t="n"/>
      <c r="AT1" s="6" t="n"/>
      <c r="AU1" s="6" t="n"/>
      <c r="AV1" s="6" t="n"/>
      <c r="AW1" s="6" t="n"/>
    </row>
    <row r="2" ht="12" customFormat="1" customHeight="1" s="3">
      <c r="A2" s="192" t="inlineStr">
        <is>
          <t>システム名</t>
        </is>
      </c>
      <c r="B2" s="189" t="n"/>
      <c r="C2" s="189" t="n"/>
      <c r="D2" s="190" t="n"/>
      <c r="E2" s="198">
        <f>IF(INDIRECT("変更履歴!E2")&lt;&gt;"",INDIRECT("変更履歴!E2"),"")</f>
        <v/>
      </c>
      <c r="F2" s="189" t="n"/>
      <c r="G2" s="189" t="n"/>
      <c r="H2" s="189" t="n"/>
      <c r="I2" s="189" t="n"/>
      <c r="J2" s="189" t="n"/>
      <c r="K2" s="189" t="n"/>
      <c r="L2" s="189" t="n"/>
      <c r="M2" s="189" t="n"/>
      <c r="N2" s="190" t="n"/>
      <c r="O2" s="199" t="n"/>
      <c r="R2" s="200" t="n"/>
      <c r="S2" s="199" t="n"/>
      <c r="Z2" s="200" t="n"/>
      <c r="AA2" s="192" t="inlineStr">
        <is>
          <t>変更</t>
        </is>
      </c>
      <c r="AB2" s="190" t="n"/>
      <c r="AC2" s="196">
        <f>IF(INDIRECT("変更履歴!AC2")&lt;&gt;"",INDIRECT("変更履歴!AC2"),"")</f>
        <v/>
      </c>
      <c r="AD2" s="189" t="n"/>
      <c r="AE2" s="189" t="n"/>
      <c r="AF2" s="190" t="n"/>
      <c r="AG2" s="222">
        <f>IF(INDIRECT("変更履歴!AG2")&lt;&gt;"",INDIRECT("変更履歴!AG2"),"")</f>
        <v/>
      </c>
      <c r="AH2" s="189" t="n"/>
      <c r="AI2" s="190" t="n"/>
      <c r="AJ2" s="6" t="n"/>
      <c r="AN2" s="7" t="n"/>
      <c r="AO2" s="6" t="n"/>
      <c r="AP2" s="6" t="n"/>
      <c r="AQ2" s="6" t="n"/>
      <c r="AR2" s="6" t="n"/>
      <c r="AS2" s="225" t="n"/>
      <c r="AT2" s="6" t="n"/>
      <c r="AU2" s="6" t="n"/>
      <c r="AV2" s="6" t="n"/>
      <c r="AW2" s="6" t="n"/>
    </row>
    <row r="3" ht="12" customFormat="1" customHeight="1" s="3">
      <c r="A3" s="192" t="inlineStr">
        <is>
          <t>サブシステム名</t>
        </is>
      </c>
      <c r="B3" s="189" t="n"/>
      <c r="C3" s="189" t="n"/>
      <c r="D3" s="190" t="n"/>
      <c r="E3" s="198">
        <f>IF(INDIRECT("変更履歴!E3")&lt;&gt;"",INDIRECT("変更履歴!E3"),"")</f>
        <v/>
      </c>
      <c r="F3" s="189" t="n"/>
      <c r="G3" s="189" t="n"/>
      <c r="H3" s="189" t="n"/>
      <c r="I3" s="189" t="n"/>
      <c r="J3" s="189" t="n"/>
      <c r="K3" s="189" t="n"/>
      <c r="L3" s="189" t="n"/>
      <c r="M3" s="189" t="n"/>
      <c r="N3" s="190" t="n"/>
      <c r="O3" s="202" t="n"/>
      <c r="P3" s="203" t="n"/>
      <c r="Q3" s="203" t="n"/>
      <c r="R3" s="204" t="n"/>
      <c r="S3" s="202" t="n"/>
      <c r="T3" s="203" t="n"/>
      <c r="U3" s="203" t="n"/>
      <c r="V3" s="203" t="n"/>
      <c r="W3" s="203" t="n"/>
      <c r="X3" s="203" t="n"/>
      <c r="Y3" s="203" t="n"/>
      <c r="Z3" s="204" t="n"/>
      <c r="AA3" s="192" t="n"/>
      <c r="AB3" s="190" t="n"/>
      <c r="AC3" s="196">
        <f>IF(INDIRECT("変更履歴!AC3")&lt;&gt;"",INDIRECT("変更履歴!AC3"),"")</f>
        <v/>
      </c>
      <c r="AD3" s="189" t="n"/>
      <c r="AE3" s="189" t="n"/>
      <c r="AF3" s="190" t="n"/>
      <c r="AG3" s="222">
        <f>IF(INDIRECT("変更履歴!AG3")&lt;&gt;"",INDIRECT("変更履歴!AG3"),"")</f>
        <v/>
      </c>
      <c r="AH3" s="189" t="n"/>
      <c r="AI3" s="190" t="n"/>
      <c r="AJ3" s="9" t="n"/>
      <c r="AK3" s="1" t="n"/>
      <c r="AL3" s="1" t="n"/>
      <c r="AM3" s="1" t="n"/>
      <c r="AN3" s="7" t="n"/>
      <c r="AO3" s="7" t="n"/>
      <c r="AP3" s="7" t="n"/>
      <c r="AQ3" s="7" t="n"/>
      <c r="AR3" s="7" t="n"/>
      <c r="AS3" s="225" t="n"/>
      <c r="AT3" s="225" t="n"/>
      <c r="AU3" s="225" t="n"/>
      <c r="AV3" s="225" t="n"/>
      <c r="AW3" s="225" t="n"/>
    </row>
    <row r="4" ht="12" customFormat="1" customHeight="1" s="6"/>
    <row r="5" ht="12" customFormat="1" customHeight="1" s="6">
      <c r="B5" s="38" t="inlineStr">
        <is>
          <t>1. 概要</t>
        </is>
      </c>
    </row>
    <row r="6" ht="12" customFormat="1" customHeight="1" s="6">
      <c r="C6" s="38" t="inlineStr">
        <is>
          <t>1.1. 本書の位置づけ</t>
        </is>
      </c>
    </row>
    <row r="7" customFormat="1" s="6">
      <c r="D7" t="inlineStr">
        <is>
          <t>本書は、Nablarch開発標準の設計書について構成を示したものである。</t>
        </is>
      </c>
    </row>
    <row r="9">
      <c r="A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</row>
    <row r="10" customFormat="1" s="77">
      <c r="C10" s="87" t="inlineStr">
        <is>
          <t>1.2. 本書におけるJakartaEE仕様への読み替えについて</t>
        </is>
      </c>
    </row>
    <row r="11" customFormat="1" s="77"/>
    <row r="12" customFormat="1" s="77">
      <c r="D12" s="77" t="inlineStr">
        <is>
          <t>特に断りがない限り、以下の表記はJakarta EEの仕様を指すものとする。</t>
        </is>
      </c>
    </row>
    <row r="13" customFormat="1" s="77"/>
    <row r="14" customFormat="1" s="77">
      <c r="D14" s="78" t="inlineStr">
        <is>
          <t>No.</t>
        </is>
      </c>
      <c r="E14" s="79" t="inlineStr">
        <is>
          <t>表記</t>
        </is>
      </c>
      <c r="F14" s="80" t="n"/>
      <c r="G14" s="80" t="n"/>
      <c r="H14" s="80" t="n"/>
      <c r="I14" s="79" t="inlineStr">
        <is>
          <t>Jakarta EE仕様</t>
        </is>
      </c>
      <c r="J14" s="81" t="n"/>
      <c r="K14" s="80" t="n"/>
      <c r="L14" s="80" t="n"/>
      <c r="M14" s="80" t="n"/>
      <c r="N14" s="80" t="n"/>
      <c r="O14" s="80" t="n"/>
      <c r="P14" s="80" t="n"/>
      <c r="Q14" s="80" t="n"/>
      <c r="R14" s="80" t="n"/>
      <c r="S14" s="80" t="n"/>
      <c r="T14" s="81" t="n"/>
      <c r="U14" s="82" t="n"/>
    </row>
    <row r="15" customFormat="1" s="77">
      <c r="D15" s="83" t="n">
        <v>1</v>
      </c>
      <c r="E15" s="83" t="inlineStr">
        <is>
          <t>JSF</t>
        </is>
      </c>
      <c r="F15" s="84" t="n"/>
      <c r="G15" s="84" t="n"/>
      <c r="H15" s="84" t="n"/>
      <c r="I15" s="85" t="inlineStr">
        <is>
          <t>Jakarta Faces</t>
        </is>
      </c>
      <c r="J15" s="86" t="n"/>
      <c r="K15" s="84" t="n"/>
      <c r="L15" s="84" t="n"/>
      <c r="M15" s="84" t="n"/>
      <c r="N15" s="84" t="n"/>
      <c r="O15" s="84" t="n"/>
      <c r="P15" s="84" t="n"/>
      <c r="Q15" s="84" t="n"/>
      <c r="R15" s="84" t="n"/>
      <c r="S15" s="84" t="n"/>
      <c r="T15" s="86" t="n"/>
      <c r="U15" s="82" t="n"/>
      <c r="AB15" t="inlineStr">
        <is>
          <t>https://jakarta.ee/specifications/faces/</t>
        </is>
      </c>
    </row>
    <row r="16" customFormat="1" s="77">
      <c r="D16" s="83" t="n">
        <v>2</v>
      </c>
      <c r="E16" s="83" t="inlineStr">
        <is>
          <t>JASPIC</t>
        </is>
      </c>
      <c r="F16" s="84" t="n"/>
      <c r="G16" s="84" t="n"/>
      <c r="H16" s="84" t="n"/>
      <c r="I16" s="85" t="inlineStr">
        <is>
          <t>Jakarta Authentication</t>
        </is>
      </c>
      <c r="J16" s="86" t="n"/>
      <c r="K16" s="84" t="n"/>
      <c r="L16" s="84" t="n"/>
      <c r="M16" s="84" t="n"/>
      <c r="N16" s="84" t="n"/>
      <c r="O16" s="84" t="n"/>
      <c r="P16" s="84" t="n"/>
      <c r="Q16" s="84" t="n"/>
      <c r="R16" s="84" t="n"/>
      <c r="S16" s="84" t="n"/>
      <c r="T16" s="86" t="n"/>
      <c r="U16" s="82" t="n"/>
      <c r="AB16" t="inlineStr">
        <is>
          <t>https://jakarta.ee/specifications/authentication/</t>
        </is>
      </c>
    </row>
    <row r="17" customFormat="1" s="77">
      <c r="D17" s="83" t="n">
        <v>3</v>
      </c>
      <c r="E17" s="83" t="inlineStr">
        <is>
          <t>JACC</t>
        </is>
      </c>
      <c r="F17" s="84" t="n"/>
      <c r="G17" s="84" t="n"/>
      <c r="H17" s="84" t="n"/>
      <c r="I17" s="85" t="inlineStr">
        <is>
          <t>Jakarta Authorization</t>
        </is>
      </c>
      <c r="J17" s="86" t="n"/>
      <c r="K17" s="84" t="n"/>
      <c r="L17" s="84" t="n"/>
      <c r="M17" s="84" t="n"/>
      <c r="N17" s="84" t="n"/>
      <c r="O17" s="84" t="n"/>
      <c r="P17" s="84" t="n"/>
      <c r="Q17" s="84" t="n"/>
      <c r="R17" s="84" t="n"/>
      <c r="S17" s="84" t="n"/>
      <c r="T17" s="86" t="n"/>
      <c r="U17" s="82" t="n"/>
      <c r="AB17" t="inlineStr">
        <is>
          <t>https://jakarta.ee/specifications/authorization/</t>
        </is>
      </c>
    </row>
    <row r="18" customFormat="1" s="77">
      <c r="D18" s="83" t="n">
        <v>4</v>
      </c>
      <c r="E18" s="83" t="inlineStr">
        <is>
          <t>JMS</t>
        </is>
      </c>
      <c r="F18" s="84" t="n"/>
      <c r="G18" s="84" t="n"/>
      <c r="H18" s="84" t="n"/>
      <c r="I18" s="85" t="inlineStr">
        <is>
          <t>Jakarta Messaging</t>
        </is>
      </c>
      <c r="J18" s="86" t="n"/>
      <c r="K18" s="84" t="n"/>
      <c r="L18" s="84" t="n"/>
      <c r="M18" s="84" t="n"/>
      <c r="N18" s="84" t="n"/>
      <c r="O18" s="84" t="n"/>
      <c r="P18" s="84" t="n"/>
      <c r="Q18" s="84" t="n"/>
      <c r="R18" s="84" t="n"/>
      <c r="S18" s="84" t="n"/>
      <c r="T18" s="86" t="n"/>
      <c r="U18" s="82" t="n"/>
      <c r="AB18" t="inlineStr">
        <is>
          <t>https://jakarta.ee/specifications/messaging/</t>
        </is>
      </c>
    </row>
    <row r="19" customFormat="1" s="77">
      <c r="D19" s="83" t="n">
        <v>5</v>
      </c>
      <c r="E19" s="83" t="inlineStr">
        <is>
          <t>JPA</t>
        </is>
      </c>
      <c r="F19" s="84" t="n"/>
      <c r="G19" s="84" t="n"/>
      <c r="H19" s="84" t="n"/>
      <c r="I19" s="85" t="inlineStr">
        <is>
          <t>Jakarta Persistence</t>
        </is>
      </c>
      <c r="J19" s="86" t="n"/>
      <c r="K19" s="84" t="n"/>
      <c r="L19" s="84" t="n"/>
      <c r="M19" s="84" t="n"/>
      <c r="N19" s="84" t="n"/>
      <c r="O19" s="84" t="n"/>
      <c r="P19" s="84" t="n"/>
      <c r="Q19" s="84" t="n"/>
      <c r="R19" s="84" t="n"/>
      <c r="S19" s="84" t="n"/>
      <c r="T19" s="86" t="n"/>
      <c r="U19" s="82" t="n"/>
      <c r="AB19" t="inlineStr">
        <is>
          <t>https://jakarta.ee/specifications/persistence/</t>
        </is>
      </c>
    </row>
    <row r="20" customFormat="1" s="77">
      <c r="D20" s="83" t="n">
        <v>6</v>
      </c>
      <c r="E20" s="83" t="inlineStr">
        <is>
          <t>JTA</t>
        </is>
      </c>
      <c r="F20" s="84" t="n"/>
      <c r="G20" s="84" t="n"/>
      <c r="H20" s="84" t="n"/>
      <c r="I20" s="85" t="inlineStr">
        <is>
          <t>Jakarta Transactions</t>
        </is>
      </c>
      <c r="J20" s="86" t="n"/>
      <c r="K20" s="84" t="n"/>
      <c r="L20" s="84" t="n"/>
      <c r="M20" s="84" t="n"/>
      <c r="N20" s="84" t="n"/>
      <c r="O20" s="84" t="n"/>
      <c r="P20" s="84" t="n"/>
      <c r="Q20" s="84" t="n"/>
      <c r="R20" s="84" t="n"/>
      <c r="S20" s="84" t="n"/>
      <c r="T20" s="86" t="n"/>
      <c r="U20" s="82" t="n"/>
      <c r="AB20" t="inlineStr">
        <is>
          <t>https://jakarta.ee/specifications/transactions/</t>
        </is>
      </c>
    </row>
    <row r="21" customFormat="1" s="77">
      <c r="D21" s="83" t="n">
        <v>7</v>
      </c>
      <c r="E21" s="88" t="inlineStr">
        <is>
          <t>jBatch / JSR352</t>
        </is>
      </c>
      <c r="F21" s="84" t="n"/>
      <c r="G21" s="84" t="n"/>
      <c r="H21" s="84" t="n"/>
      <c r="I21" s="85" t="inlineStr">
        <is>
          <t>Jakarta Batch</t>
        </is>
      </c>
      <c r="J21" s="86" t="n"/>
      <c r="K21" s="84" t="n"/>
      <c r="L21" s="84" t="n"/>
      <c r="M21" s="84" t="n"/>
      <c r="N21" s="84" t="n"/>
      <c r="O21" s="84" t="n"/>
      <c r="P21" s="84" t="n"/>
      <c r="Q21" s="84" t="n"/>
      <c r="R21" s="84" t="n"/>
      <c r="S21" s="84" t="n"/>
      <c r="T21" s="86" t="n"/>
      <c r="U21" s="82" t="n"/>
      <c r="AB21" t="inlineStr">
        <is>
          <t>https://jakarta.ee/specifications/batch/</t>
        </is>
      </c>
    </row>
    <row r="22" customFormat="1" s="77">
      <c r="D22" s="83" t="n">
        <v>8</v>
      </c>
      <c r="E22" s="83" t="inlineStr">
        <is>
          <t>JCA</t>
        </is>
      </c>
      <c r="F22" s="84" t="n"/>
      <c r="G22" s="84" t="n"/>
      <c r="H22" s="84" t="n"/>
      <c r="I22" s="85" t="inlineStr">
        <is>
          <t>Jakarta Connectors</t>
        </is>
      </c>
      <c r="J22" s="86" t="n"/>
      <c r="K22" s="84" t="n"/>
      <c r="L22" s="84" t="n"/>
      <c r="M22" s="84" t="n"/>
      <c r="N22" s="84" t="n"/>
      <c r="O22" s="84" t="n"/>
      <c r="P22" s="84" t="n"/>
      <c r="Q22" s="84" t="n"/>
      <c r="R22" s="84" t="n"/>
      <c r="S22" s="84" t="n"/>
      <c r="T22" s="86" t="n"/>
      <c r="U22" s="82" t="n"/>
      <c r="AB22" t="inlineStr">
        <is>
          <t>https://jakarta.ee/specifications/connectors/</t>
        </is>
      </c>
    </row>
    <row r="23" customFormat="1" s="77">
      <c r="D23" s="83" t="n">
        <v>9</v>
      </c>
      <c r="E23" s="83" t="inlineStr">
        <is>
          <t>JAF</t>
        </is>
      </c>
      <c r="F23" s="84" t="n"/>
      <c r="G23" s="84" t="n"/>
      <c r="H23" s="84" t="n"/>
      <c r="I23" s="85" t="inlineStr">
        <is>
          <t>Jakarta Activation</t>
        </is>
      </c>
      <c r="J23" s="86" t="n"/>
      <c r="K23" s="84" t="n"/>
      <c r="L23" s="84" t="n"/>
      <c r="M23" s="84" t="n"/>
      <c r="N23" s="84" t="n"/>
      <c r="O23" s="84" t="n"/>
      <c r="P23" s="84" t="n"/>
      <c r="Q23" s="84" t="n"/>
      <c r="R23" s="84" t="n"/>
      <c r="S23" s="84" t="n"/>
      <c r="T23" s="86" t="n"/>
      <c r="U23" s="82" t="n"/>
      <c r="AB23" t="inlineStr">
        <is>
          <t>https://jakarta.ee/specifications/activation/</t>
        </is>
      </c>
    </row>
    <row r="24" customFormat="1" s="77">
      <c r="D24" s="83" t="n">
        <v>10</v>
      </c>
      <c r="E24" s="83" t="inlineStr">
        <is>
          <t>EL</t>
        </is>
      </c>
      <c r="F24" s="84" t="n"/>
      <c r="G24" s="84" t="n"/>
      <c r="H24" s="84" t="n"/>
      <c r="I24" s="85" t="inlineStr">
        <is>
          <t>Jakarta Expression Language</t>
        </is>
      </c>
      <c r="J24" s="86" t="n"/>
      <c r="K24" s="84" t="n"/>
      <c r="L24" s="84" t="n"/>
      <c r="M24" s="84" t="n"/>
      <c r="N24" s="84" t="n"/>
      <c r="O24" s="84" t="n"/>
      <c r="P24" s="84" t="n"/>
      <c r="Q24" s="84" t="n"/>
      <c r="R24" s="84" t="n"/>
      <c r="S24" s="84" t="n"/>
      <c r="T24" s="86" t="n"/>
      <c r="U24" s="82" t="n"/>
      <c r="AB24" t="inlineStr">
        <is>
          <t>https://jakarta.ee/specifications/expression-language/</t>
        </is>
      </c>
    </row>
    <row r="25" customFormat="1" s="77">
      <c r="D25" s="83" t="n">
        <v>11</v>
      </c>
      <c r="E25" s="83" t="inlineStr">
        <is>
          <t>EJB</t>
        </is>
      </c>
      <c r="F25" s="84" t="n"/>
      <c r="G25" s="84" t="n"/>
      <c r="H25" s="84" t="n"/>
      <c r="I25" s="85" t="inlineStr">
        <is>
          <t>Jakarta Enterprise Beans</t>
        </is>
      </c>
      <c r="J25" s="86" t="n"/>
      <c r="K25" s="84" t="n"/>
      <c r="L25" s="84" t="n"/>
      <c r="M25" s="84" t="n"/>
      <c r="N25" s="84" t="n"/>
      <c r="O25" s="84" t="n"/>
      <c r="P25" s="84" t="n"/>
      <c r="Q25" s="84" t="n"/>
      <c r="R25" s="84" t="n"/>
      <c r="S25" s="84" t="n"/>
      <c r="T25" s="86" t="n"/>
      <c r="U25" s="82" t="n"/>
      <c r="AB25" t="inlineStr">
        <is>
          <t>https://jakarta.ee/specifications/enterprise-beans/</t>
        </is>
      </c>
    </row>
    <row r="26" customFormat="1" s="77">
      <c r="D26" s="83" t="n">
        <v>12</v>
      </c>
      <c r="E26" s="83" t="inlineStr">
        <is>
          <t>JAXB</t>
        </is>
      </c>
      <c r="F26" s="84" t="n"/>
      <c r="G26" s="84" t="n"/>
      <c r="H26" s="84" t="n"/>
      <c r="I26" s="85" t="inlineStr">
        <is>
          <t>Jakarta XML Binding</t>
        </is>
      </c>
      <c r="J26" s="86" t="n"/>
      <c r="K26" s="84" t="n"/>
      <c r="L26" s="84" t="n"/>
      <c r="M26" s="84" t="n"/>
      <c r="N26" s="84" t="n"/>
      <c r="O26" s="84" t="n"/>
      <c r="P26" s="84" t="n"/>
      <c r="Q26" s="84" t="n"/>
      <c r="R26" s="84" t="n"/>
      <c r="S26" s="84" t="n"/>
      <c r="T26" s="86" t="n"/>
      <c r="U26" s="82" t="n"/>
      <c r="AB26" t="inlineStr">
        <is>
          <t>https://jakarta.ee/specifications/xml-binding/</t>
        </is>
      </c>
    </row>
    <row r="27" customFormat="1" s="77">
      <c r="D27" s="83" t="n">
        <v>13</v>
      </c>
      <c r="E27" s="83" t="inlineStr">
        <is>
          <t>JSON-B</t>
        </is>
      </c>
      <c r="F27" s="84" t="n"/>
      <c r="G27" s="84" t="n"/>
      <c r="H27" s="84" t="n"/>
      <c r="I27" s="85" t="inlineStr">
        <is>
          <t>Jakarta JSON Binding</t>
        </is>
      </c>
      <c r="J27" s="86" t="n"/>
      <c r="K27" s="84" t="n"/>
      <c r="L27" s="84" t="n"/>
      <c r="M27" s="84" t="n"/>
      <c r="N27" s="84" t="n"/>
      <c r="O27" s="84" t="n"/>
      <c r="P27" s="84" t="n"/>
      <c r="Q27" s="84" t="n"/>
      <c r="R27" s="84" t="n"/>
      <c r="S27" s="84" t="n"/>
      <c r="T27" s="86" t="n"/>
      <c r="U27" s="82" t="n"/>
      <c r="AB27" t="inlineStr">
        <is>
          <t>https://jakarta.ee/specifications/jsonb/</t>
        </is>
      </c>
    </row>
    <row r="28" customFormat="1" s="77">
      <c r="D28" s="83" t="n">
        <v>14</v>
      </c>
      <c r="E28" s="83" t="inlineStr">
        <is>
          <t>JSON-P</t>
        </is>
      </c>
      <c r="F28" s="84" t="n"/>
      <c r="G28" s="84" t="n"/>
      <c r="H28" s="84" t="n"/>
      <c r="I28" s="85" t="inlineStr">
        <is>
          <t>Jakarta JSON Processing</t>
        </is>
      </c>
      <c r="J28" s="86" t="n"/>
      <c r="K28" s="84" t="n"/>
      <c r="L28" s="84" t="n"/>
      <c r="M28" s="84" t="n"/>
      <c r="N28" s="84" t="n"/>
      <c r="O28" s="84" t="n"/>
      <c r="P28" s="84" t="n"/>
      <c r="Q28" s="84" t="n"/>
      <c r="R28" s="84" t="n"/>
      <c r="S28" s="84" t="n"/>
      <c r="T28" s="86" t="n"/>
      <c r="U28" s="82" t="n"/>
      <c r="AB28" t="inlineStr">
        <is>
          <t>https://jakarta.ee/specifications/jsonp/</t>
        </is>
      </c>
    </row>
    <row r="29" customFormat="1" s="77">
      <c r="D29" s="83" t="n">
        <v>15</v>
      </c>
      <c r="E29" s="83" t="inlineStr">
        <is>
          <t>JSP</t>
        </is>
      </c>
      <c r="F29" s="84" t="n"/>
      <c r="G29" s="84" t="n"/>
      <c r="H29" s="84" t="n"/>
      <c r="I29" s="85" t="inlineStr">
        <is>
          <t>Jakarta Server Pages</t>
        </is>
      </c>
      <c r="J29" s="86" t="n"/>
      <c r="K29" s="84" t="n"/>
      <c r="L29" s="84" t="n"/>
      <c r="M29" s="84" t="n"/>
      <c r="N29" s="84" t="n"/>
      <c r="O29" s="84" t="n"/>
      <c r="P29" s="84" t="n"/>
      <c r="Q29" s="84" t="n"/>
      <c r="R29" s="84" t="n"/>
      <c r="S29" s="84" t="n"/>
      <c r="T29" s="86" t="n"/>
      <c r="U29" s="82" t="n"/>
      <c r="AB29" t="inlineStr">
        <is>
          <t>https://jakarta.ee/specifications/pages/</t>
        </is>
      </c>
    </row>
    <row r="30" customFormat="1" s="77">
      <c r="D30" s="83" t="n">
        <v>16</v>
      </c>
      <c r="E30" s="83" t="inlineStr">
        <is>
          <t>JAX-WS</t>
        </is>
      </c>
      <c r="F30" s="84" t="n"/>
      <c r="G30" s="84" t="n"/>
      <c r="H30" s="84" t="n"/>
      <c r="I30" s="85" t="inlineStr">
        <is>
          <t>Jakarta XML Web Services</t>
        </is>
      </c>
      <c r="J30" s="86" t="n"/>
      <c r="K30" s="84" t="n"/>
      <c r="L30" s="84" t="n"/>
      <c r="M30" s="84" t="n"/>
      <c r="N30" s="84" t="n"/>
      <c r="O30" s="84" t="n"/>
      <c r="P30" s="84" t="n"/>
      <c r="Q30" s="84" t="n"/>
      <c r="R30" s="84" t="n"/>
      <c r="S30" s="84" t="n"/>
      <c r="T30" s="86" t="n"/>
      <c r="U30" s="82" t="n"/>
      <c r="AB30" t="inlineStr">
        <is>
          <t>https://jakarta.ee/specifications/xml-web-services/</t>
        </is>
      </c>
    </row>
    <row r="31" customFormat="1" s="77">
      <c r="D31" s="83" t="n">
        <v>17</v>
      </c>
      <c r="E31" s="83" t="inlineStr">
        <is>
          <t>JAX-RS</t>
        </is>
      </c>
      <c r="F31" s="84" t="n"/>
      <c r="G31" s="84" t="n"/>
      <c r="H31" s="84" t="n"/>
      <c r="I31" s="85" t="inlineStr">
        <is>
          <t>Jakarta RESTful Web Services</t>
        </is>
      </c>
      <c r="J31" s="86" t="n"/>
      <c r="K31" s="84" t="n"/>
      <c r="L31" s="84" t="n"/>
      <c r="M31" s="84" t="n"/>
      <c r="N31" s="84" t="n"/>
      <c r="O31" s="84" t="n"/>
      <c r="P31" s="84" t="n"/>
      <c r="Q31" s="84" t="n"/>
      <c r="R31" s="84" t="n"/>
      <c r="S31" s="84" t="n"/>
      <c r="T31" s="86" t="n"/>
      <c r="U31" s="82" t="n"/>
      <c r="AB31" t="inlineStr">
        <is>
          <t>https://jakarta.ee/specifications/restful-ws/</t>
        </is>
      </c>
    </row>
    <row r="32" customFormat="1" s="77">
      <c r="D32" s="83" t="n">
        <v>18</v>
      </c>
      <c r="E32" s="83" t="inlineStr">
        <is>
          <t>JSTL</t>
        </is>
      </c>
      <c r="F32" s="84" t="n"/>
      <c r="G32" s="84" t="n"/>
      <c r="H32" s="84" t="n"/>
      <c r="I32" s="85" t="inlineStr">
        <is>
          <t>Jakarta Standard Tag Library</t>
        </is>
      </c>
      <c r="J32" s="86" t="n"/>
      <c r="K32" s="84" t="n"/>
      <c r="L32" s="84" t="n"/>
      <c r="M32" s="84" t="n"/>
      <c r="N32" s="84" t="n"/>
      <c r="O32" s="84" t="n"/>
      <c r="P32" s="84" t="n"/>
      <c r="Q32" s="84" t="n"/>
      <c r="R32" s="84" t="n"/>
      <c r="S32" s="84" t="n"/>
      <c r="T32" s="86" t="n"/>
      <c r="U32" s="82" t="n"/>
      <c r="AB32" t="inlineStr">
        <is>
          <t>https://jakarta.ee/specifications/tags/</t>
        </is>
      </c>
    </row>
    <row r="33" customFormat="1" s="77">
      <c r="D33" s="83" t="n">
        <v>19</v>
      </c>
      <c r="E33" s="83" t="inlineStr">
        <is>
          <t>CDI</t>
        </is>
      </c>
      <c r="F33" s="84" t="n"/>
      <c r="G33" s="84" t="n"/>
      <c r="H33" s="84" t="n"/>
      <c r="I33" s="85" t="inlineStr">
        <is>
          <t>Jakarta Contexts and Dependency Injection</t>
        </is>
      </c>
      <c r="J33" s="86" t="n"/>
      <c r="K33" s="84" t="n"/>
      <c r="L33" s="84" t="n"/>
      <c r="M33" s="84" t="n"/>
      <c r="N33" s="84" t="n"/>
      <c r="O33" s="84" t="n"/>
      <c r="P33" s="84" t="n"/>
      <c r="Q33" s="84" t="n"/>
      <c r="R33" s="84" t="n"/>
      <c r="S33" s="84" t="n"/>
      <c r="T33" s="86" t="n"/>
      <c r="U33" s="82" t="n"/>
      <c r="AB33" t="inlineStr">
        <is>
          <t>https://jakarta.ee/specifications/cdi/</t>
        </is>
      </c>
    </row>
    <row r="34">
      <c r="D34" s="38" t="n"/>
    </row>
    <row r="35">
      <c r="C35" s="38" t="n"/>
    </row>
  </sheetData>
  <mergeCells count="17">
    <mergeCell ref="A1:D1"/>
    <mergeCell ref="AG2:AI2"/>
    <mergeCell ref="AA3:AB3"/>
    <mergeCell ref="AG1:AI1"/>
    <mergeCell ref="AA2:AB2"/>
    <mergeCell ref="AC3:AF3"/>
    <mergeCell ref="S1:Z3"/>
    <mergeCell ref="A3:D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hyperlinks>
    <hyperlink xmlns:r="http://schemas.openxmlformats.org/officeDocument/2006/relationships" ref="AB15" display="https://jakarta.ee/specifications/faces/" r:id="rId1"/>
    <hyperlink xmlns:r="http://schemas.openxmlformats.org/officeDocument/2006/relationships" ref="AB16" display="https://jakarta.ee/specifications/authentication/" r:id="rId2"/>
    <hyperlink xmlns:r="http://schemas.openxmlformats.org/officeDocument/2006/relationships" ref="AB17" display="https://jakarta.ee/specifications/authorization/" r:id="rId3"/>
    <hyperlink xmlns:r="http://schemas.openxmlformats.org/officeDocument/2006/relationships" ref="AB18" display="https://jakarta.ee/specifications/messaging/" r:id="rId4"/>
    <hyperlink xmlns:r="http://schemas.openxmlformats.org/officeDocument/2006/relationships" ref="AB19" display="https://jakarta.ee/specifications/persistence/" r:id="rId5"/>
    <hyperlink xmlns:r="http://schemas.openxmlformats.org/officeDocument/2006/relationships" ref="AB20" display="https://jakarta.ee/specifications/transactions/" r:id="rId6"/>
    <hyperlink xmlns:r="http://schemas.openxmlformats.org/officeDocument/2006/relationships" ref="AB21" display="https://jakarta.ee/specifications/batch/" r:id="rId7"/>
    <hyperlink xmlns:r="http://schemas.openxmlformats.org/officeDocument/2006/relationships" ref="AB22" display="https://jakarta.ee/specifications/connectors/" r:id="rId8"/>
    <hyperlink xmlns:r="http://schemas.openxmlformats.org/officeDocument/2006/relationships" ref="AB23" display="https://jakarta.ee/specifications/activation/" r:id="rId9"/>
    <hyperlink xmlns:r="http://schemas.openxmlformats.org/officeDocument/2006/relationships" ref="AB24" display="https://jakarta.ee/specifications/expression-language/" r:id="rId10"/>
    <hyperlink xmlns:r="http://schemas.openxmlformats.org/officeDocument/2006/relationships" ref="AB25" display="https://jakarta.ee/specifications/enterprise-beans/" r:id="rId11"/>
    <hyperlink xmlns:r="http://schemas.openxmlformats.org/officeDocument/2006/relationships" ref="AB26" display="https://jakarta.ee/specifications/xml-binding/" r:id="rId12"/>
    <hyperlink xmlns:r="http://schemas.openxmlformats.org/officeDocument/2006/relationships" ref="AB27" display="https://jakarta.ee/specifications/jsonb/" r:id="rId13"/>
    <hyperlink xmlns:r="http://schemas.openxmlformats.org/officeDocument/2006/relationships" ref="AB28" display="https://jakarta.ee/specifications/jsonp/" r:id="rId14"/>
    <hyperlink xmlns:r="http://schemas.openxmlformats.org/officeDocument/2006/relationships" ref="AB29" display="https://jakarta.ee/specifications/pages/" r:id="rId15"/>
    <hyperlink xmlns:r="http://schemas.openxmlformats.org/officeDocument/2006/relationships" ref="AB30" display="https://jakarta.ee/specifications/xml-web-services/" r:id="rId16"/>
    <hyperlink xmlns:r="http://schemas.openxmlformats.org/officeDocument/2006/relationships" ref="AB31" display="https://jakarta.ee/specifications/restful-ws/" r:id="rId17"/>
    <hyperlink xmlns:r="http://schemas.openxmlformats.org/officeDocument/2006/relationships" ref="AB32" display="https://jakarta.ee/specifications/tags/" r:id="rId18"/>
    <hyperlink xmlns:r="http://schemas.openxmlformats.org/officeDocument/2006/relationships" ref="AB33" display="https://jakarta.ee/specifications/cdi/" r:id="rId19"/>
  </hyperlink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useFirstPageNumber="1"/>
  <headerFooter alignWithMargins="0">
    <oddHeader/>
    <oddFooter>&amp;C- &amp;P -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W70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0" min="1" max="31"/>
    <col width="4.83203125" customWidth="1" style="10" min="32" max="16384"/>
  </cols>
  <sheetData>
    <row r="1" ht="12" customFormat="1" customHeight="1" s="3">
      <c r="A1" s="192" t="inlineStr">
        <is>
          <t>PJ名</t>
        </is>
      </c>
      <c r="B1" s="189" t="n"/>
      <c r="C1" s="189" t="n"/>
      <c r="D1" s="190" t="n"/>
      <c r="E1" s="198">
        <f>IF(INDIRECT("変更履歴!E1")&lt;&gt;"",INDIRECT("変更履歴!E1"),"")</f>
        <v/>
      </c>
      <c r="F1" s="189" t="n"/>
      <c r="G1" s="189" t="n"/>
      <c r="H1" s="189" t="n"/>
      <c r="I1" s="189" t="n"/>
      <c r="J1" s="189" t="n"/>
      <c r="K1" s="189" t="n"/>
      <c r="L1" s="189" t="n"/>
      <c r="M1" s="189" t="n"/>
      <c r="N1" s="190" t="n"/>
      <c r="O1" s="223" t="inlineStr">
        <is>
          <t>成果物名</t>
        </is>
      </c>
      <c r="P1" s="193" t="n"/>
      <c r="Q1" s="193" t="n"/>
      <c r="R1" s="194" t="n"/>
      <c r="S1" s="224">
        <f>IF(INDIRECT("変更履歴!S1")&lt;&gt;"",INDIRECT("変更履歴!S1"),"")</f>
        <v/>
      </c>
      <c r="T1" s="193" t="n"/>
      <c r="U1" s="193" t="n"/>
      <c r="V1" s="193" t="n"/>
      <c r="W1" s="193" t="n"/>
      <c r="X1" s="193" t="n"/>
      <c r="Y1" s="193" t="n"/>
      <c r="Z1" s="194" t="n"/>
      <c r="AA1" s="192" t="inlineStr">
        <is>
          <t>作成</t>
        </is>
      </c>
      <c r="AB1" s="190" t="n"/>
      <c r="AC1" s="196">
        <f>IF(INDIRECT("変更履歴!AC1")&lt;&gt;"",INDIRECT("変更履歴!AC1"),"")</f>
        <v/>
      </c>
      <c r="AD1" s="189" t="n"/>
      <c r="AE1" s="189" t="n"/>
      <c r="AF1" s="190" t="n"/>
      <c r="AG1" s="222">
        <f>IF(INDIRECT("変更履歴!AG1")&lt;&gt;"",INDIRECT("変更履歴!AG1"),"")</f>
        <v/>
      </c>
      <c r="AH1" s="189" t="n"/>
      <c r="AI1" s="190" t="n"/>
      <c r="AJ1" s="6" t="n"/>
      <c r="AN1" s="7" t="n"/>
      <c r="AO1" s="6" t="n"/>
      <c r="AP1" s="6" t="n"/>
      <c r="AQ1" s="6" t="n"/>
      <c r="AR1" s="6" t="n"/>
      <c r="AS1" s="225" t="n"/>
      <c r="AT1" s="6" t="n"/>
      <c r="AU1" s="6" t="n"/>
      <c r="AV1" s="6" t="n"/>
      <c r="AW1" s="6" t="n"/>
    </row>
    <row r="2" ht="12" customFormat="1" customHeight="1" s="3">
      <c r="A2" s="192" t="inlineStr">
        <is>
          <t>システム名</t>
        </is>
      </c>
      <c r="B2" s="189" t="n"/>
      <c r="C2" s="189" t="n"/>
      <c r="D2" s="190" t="n"/>
      <c r="E2" s="198">
        <f>IF(INDIRECT("変更履歴!E2")&lt;&gt;"",INDIRECT("変更履歴!E2"),"")</f>
        <v/>
      </c>
      <c r="F2" s="189" t="n"/>
      <c r="G2" s="189" t="n"/>
      <c r="H2" s="189" t="n"/>
      <c r="I2" s="189" t="n"/>
      <c r="J2" s="189" t="n"/>
      <c r="K2" s="189" t="n"/>
      <c r="L2" s="189" t="n"/>
      <c r="M2" s="189" t="n"/>
      <c r="N2" s="190" t="n"/>
      <c r="O2" s="199" t="n"/>
      <c r="R2" s="200" t="n"/>
      <c r="S2" s="199" t="n"/>
      <c r="Z2" s="200" t="n"/>
      <c r="AA2" s="192" t="inlineStr">
        <is>
          <t>変更</t>
        </is>
      </c>
      <c r="AB2" s="190" t="n"/>
      <c r="AC2" s="196">
        <f>IF(INDIRECT("変更履歴!AC2")&lt;&gt;"",INDIRECT("変更履歴!AC2"),"")</f>
        <v/>
      </c>
      <c r="AD2" s="189" t="n"/>
      <c r="AE2" s="189" t="n"/>
      <c r="AF2" s="190" t="n"/>
      <c r="AG2" s="222">
        <f>IF(INDIRECT("変更履歴!AG2")&lt;&gt;"",INDIRECT("変更履歴!AG2"),"")</f>
        <v/>
      </c>
      <c r="AH2" s="189" t="n"/>
      <c r="AI2" s="190" t="n"/>
      <c r="AJ2" s="6" t="n"/>
      <c r="AN2" s="7" t="n"/>
      <c r="AO2" s="6" t="n"/>
      <c r="AP2" s="6" t="n"/>
      <c r="AQ2" s="6" t="n"/>
      <c r="AR2" s="6" t="n"/>
      <c r="AS2" s="225" t="n"/>
      <c r="AT2" s="6" t="n"/>
      <c r="AU2" s="6" t="n"/>
      <c r="AV2" s="6" t="n"/>
      <c r="AW2" s="6" t="n"/>
    </row>
    <row r="3" ht="12" customFormat="1" customHeight="1" s="3">
      <c r="A3" s="192" t="inlineStr">
        <is>
          <t>サブシステム名</t>
        </is>
      </c>
      <c r="B3" s="189" t="n"/>
      <c r="C3" s="189" t="n"/>
      <c r="D3" s="190" t="n"/>
      <c r="E3" s="198">
        <f>IF(INDIRECT("変更履歴!E3")&lt;&gt;"",INDIRECT("変更履歴!E3"),"")</f>
        <v/>
      </c>
      <c r="F3" s="189" t="n"/>
      <c r="G3" s="189" t="n"/>
      <c r="H3" s="189" t="n"/>
      <c r="I3" s="189" t="n"/>
      <c r="J3" s="189" t="n"/>
      <c r="K3" s="189" t="n"/>
      <c r="L3" s="189" t="n"/>
      <c r="M3" s="189" t="n"/>
      <c r="N3" s="190" t="n"/>
      <c r="O3" s="202" t="n"/>
      <c r="P3" s="203" t="n"/>
      <c r="Q3" s="203" t="n"/>
      <c r="R3" s="204" t="n"/>
      <c r="S3" s="202" t="n"/>
      <c r="T3" s="203" t="n"/>
      <c r="U3" s="203" t="n"/>
      <c r="V3" s="203" t="n"/>
      <c r="W3" s="203" t="n"/>
      <c r="X3" s="203" t="n"/>
      <c r="Y3" s="203" t="n"/>
      <c r="Z3" s="204" t="n"/>
      <c r="AA3" s="192" t="n"/>
      <c r="AB3" s="190" t="n"/>
      <c r="AC3" s="196">
        <f>IF(INDIRECT("変更履歴!AC3")&lt;&gt;"",INDIRECT("変更履歴!AC3"),"")</f>
        <v/>
      </c>
      <c r="AD3" s="189" t="n"/>
      <c r="AE3" s="189" t="n"/>
      <c r="AF3" s="190" t="n"/>
      <c r="AG3" s="222">
        <f>IF(INDIRECT("変更履歴!AG3")&lt;&gt;"",INDIRECT("変更履歴!AG3"),"")</f>
        <v/>
      </c>
      <c r="AH3" s="189" t="n"/>
      <c r="AI3" s="190" t="n"/>
      <c r="AJ3" s="9" t="n"/>
      <c r="AK3" s="1" t="n"/>
      <c r="AL3" s="1" t="n"/>
      <c r="AM3" s="1" t="n"/>
      <c r="AN3" s="7" t="n"/>
      <c r="AO3" s="7" t="n"/>
      <c r="AP3" s="7" t="n"/>
      <c r="AQ3" s="7" t="n"/>
      <c r="AR3" s="7" t="n"/>
      <c r="AS3" s="225" t="n"/>
      <c r="AT3" s="225" t="n"/>
      <c r="AU3" s="225" t="n"/>
      <c r="AV3" s="225" t="n"/>
      <c r="AW3" s="225" t="n"/>
    </row>
    <row r="4" ht="12" customFormat="1" customHeight="1" s="6"/>
    <row r="5" ht="12" customFormat="1" customHeight="1" s="6">
      <c r="B5" s="38" t="inlineStr">
        <is>
          <t>2.1. 設計書体系図</t>
        </is>
      </c>
    </row>
    <row r="6" ht="12" customFormat="1" customHeight="1" s="6">
      <c r="C6" t="inlineStr">
        <is>
          <t>設計ドキュメントと他のアプリケーション開発ドキュメントとの関連および、設計ドキュメント間の関係について下図に記載する。（運用設計ドキュメントは省略）</t>
        </is>
      </c>
    </row>
    <row r="7" customFormat="1" s="6"/>
    <row r="8">
      <c r="C8" s="38" t="n"/>
    </row>
    <row r="70">
      <c r="J70" s="6" t="inlineStr">
        <is>
          <t>※1</t>
        </is>
      </c>
      <c r="K70" t="inlineStr">
        <is>
          <t>画面アプリケーションについては、設計者の利便性を考慮し、インタフェース設計とシステム機能設計を1つの設計書に記載する。</t>
        </is>
      </c>
    </row>
  </sheetData>
  <mergeCells count="17">
    <mergeCell ref="A1:D1"/>
    <mergeCell ref="AG2:AI2"/>
    <mergeCell ref="AA3:AB3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scale="67" fitToHeight="0"/>
  <headerFooter alignWithMargins="0">
    <oddHeader/>
    <oddFooter>&amp;C- &amp;P -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P72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6" min="1" max="23"/>
    <col width="6" customWidth="1" style="6" min="24" max="34"/>
    <col width="7.1640625" customWidth="1" style="6" min="35" max="36"/>
    <col width="4.83203125" customWidth="1" style="6" min="37" max="38"/>
    <col width="5.6640625" customWidth="1" style="6" min="39" max="42"/>
    <col width="4.83203125" customWidth="1" style="6" min="43" max="16384"/>
  </cols>
  <sheetData>
    <row r="1" ht="12" customFormat="1" customHeight="1" s="3">
      <c r="A1" s="192" t="inlineStr">
        <is>
          <t>PJ名</t>
        </is>
      </c>
      <c r="B1" s="189" t="n"/>
      <c r="C1" s="189" t="n"/>
      <c r="D1" s="190" t="n"/>
      <c r="E1" s="198">
        <f>IF(INDIRECT("変更履歴!E1")&lt;&gt;"",INDIRECT("変更履歴!E1"),"")</f>
        <v/>
      </c>
      <c r="F1" s="189" t="n"/>
      <c r="G1" s="189" t="n"/>
      <c r="H1" s="189" t="n"/>
      <c r="I1" s="189" t="n"/>
      <c r="J1" s="189" t="n"/>
      <c r="K1" s="189" t="n"/>
      <c r="L1" s="189" t="n"/>
      <c r="M1" s="189" t="n"/>
      <c r="N1" s="190" t="n"/>
      <c r="O1" s="223" t="inlineStr">
        <is>
          <t>成果物名</t>
        </is>
      </c>
      <c r="P1" s="193" t="n"/>
      <c r="Q1" s="193" t="n"/>
      <c r="R1" s="194" t="n"/>
      <c r="S1" s="224">
        <f>IF(INDIRECT("変更履歴!S1")&lt;&gt;"",INDIRECT("変更履歴!S1"),"")</f>
        <v/>
      </c>
      <c r="T1" s="193" t="n"/>
      <c r="U1" s="193" t="n"/>
      <c r="V1" s="193" t="n"/>
      <c r="W1" s="193" t="n"/>
      <c r="X1" s="193" t="n"/>
      <c r="Y1" s="193" t="n"/>
      <c r="Z1" s="194" t="n"/>
      <c r="AA1" s="192" t="inlineStr">
        <is>
          <t>作成</t>
        </is>
      </c>
      <c r="AB1" s="190" t="n"/>
      <c r="AC1" s="196">
        <f>IF(INDIRECT("変更履歴!AC1")&lt;&gt;"",INDIRECT("変更履歴!AC1"),"")</f>
        <v/>
      </c>
      <c r="AD1" s="189" t="n"/>
      <c r="AE1" s="189" t="n"/>
      <c r="AF1" s="190" t="n"/>
      <c r="AG1" s="222">
        <f>IF(INDIRECT("変更履歴!AG1")&lt;&gt;"",INDIRECT("変更履歴!AG1"),"")</f>
        <v/>
      </c>
      <c r="AH1" s="189" t="n"/>
      <c r="AI1" s="190" t="n"/>
      <c r="AJ1" s="6" t="n"/>
      <c r="AM1" s="6" t="n"/>
      <c r="AN1" s="6" t="n"/>
      <c r="AO1" s="6" t="n"/>
      <c r="AP1" s="6" t="n"/>
    </row>
    <row r="2" ht="12" customFormat="1" customHeight="1" s="3">
      <c r="A2" s="192" t="inlineStr">
        <is>
          <t>システム名</t>
        </is>
      </c>
      <c r="B2" s="189" t="n"/>
      <c r="C2" s="189" t="n"/>
      <c r="D2" s="190" t="n"/>
      <c r="E2" s="198">
        <f>IF(INDIRECT("変更履歴!E2")&lt;&gt;"",INDIRECT("変更履歴!E2"),"")</f>
        <v/>
      </c>
      <c r="F2" s="189" t="n"/>
      <c r="G2" s="189" t="n"/>
      <c r="H2" s="189" t="n"/>
      <c r="I2" s="189" t="n"/>
      <c r="J2" s="189" t="n"/>
      <c r="K2" s="189" t="n"/>
      <c r="L2" s="189" t="n"/>
      <c r="M2" s="189" t="n"/>
      <c r="N2" s="190" t="n"/>
      <c r="O2" s="199" t="n"/>
      <c r="R2" s="200" t="n"/>
      <c r="S2" s="199" t="n"/>
      <c r="Z2" s="200" t="n"/>
      <c r="AA2" s="192" t="inlineStr">
        <is>
          <t>変更</t>
        </is>
      </c>
      <c r="AB2" s="190" t="n"/>
      <c r="AC2" s="196">
        <f>IF(INDIRECT("変更履歴!AC2")&lt;&gt;"",INDIRECT("変更履歴!AC2"),"")</f>
        <v/>
      </c>
      <c r="AD2" s="189" t="n"/>
      <c r="AE2" s="189" t="n"/>
      <c r="AF2" s="190" t="n"/>
      <c r="AG2" s="222">
        <f>IF(INDIRECT("変更履歴!AG2")&lt;&gt;"",INDIRECT("変更履歴!AG2"),"")</f>
        <v/>
      </c>
      <c r="AH2" s="189" t="n"/>
      <c r="AI2" s="190" t="n"/>
      <c r="AJ2" s="6" t="n"/>
      <c r="AM2" s="6" t="n"/>
      <c r="AN2" s="6" t="n"/>
      <c r="AO2" s="6" t="n"/>
      <c r="AP2" s="6" t="n"/>
    </row>
    <row r="3" ht="12" customFormat="1" customHeight="1" s="3">
      <c r="A3" s="192" t="inlineStr">
        <is>
          <t>サブシステム名</t>
        </is>
      </c>
      <c r="B3" s="189" t="n"/>
      <c r="C3" s="189" t="n"/>
      <c r="D3" s="190" t="n"/>
      <c r="E3" s="198">
        <f>IF(INDIRECT("変更履歴!E3")&lt;&gt;"",INDIRECT("変更履歴!E3"),"")</f>
        <v/>
      </c>
      <c r="F3" s="189" t="n"/>
      <c r="G3" s="189" t="n"/>
      <c r="H3" s="189" t="n"/>
      <c r="I3" s="189" t="n"/>
      <c r="J3" s="189" t="n"/>
      <c r="K3" s="189" t="n"/>
      <c r="L3" s="189" t="n"/>
      <c r="M3" s="189" t="n"/>
      <c r="N3" s="190" t="n"/>
      <c r="O3" s="202" t="n"/>
      <c r="P3" s="203" t="n"/>
      <c r="Q3" s="203" t="n"/>
      <c r="R3" s="204" t="n"/>
      <c r="S3" s="202" t="n"/>
      <c r="T3" s="203" t="n"/>
      <c r="U3" s="203" t="n"/>
      <c r="V3" s="203" t="n"/>
      <c r="W3" s="203" t="n"/>
      <c r="X3" s="203" t="n"/>
      <c r="Y3" s="203" t="n"/>
      <c r="Z3" s="204" t="n"/>
      <c r="AA3" s="192" t="n"/>
      <c r="AB3" s="190" t="n"/>
      <c r="AC3" s="196">
        <f>IF(INDIRECT("変更履歴!AC3")&lt;&gt;"",INDIRECT("変更履歴!AC3"),"")</f>
        <v/>
      </c>
      <c r="AD3" s="189" t="n"/>
      <c r="AE3" s="189" t="n"/>
      <c r="AF3" s="190" t="n"/>
      <c r="AG3" s="222">
        <f>IF(INDIRECT("変更履歴!AG3")&lt;&gt;"",INDIRECT("変更履歴!AG3"),"")</f>
        <v/>
      </c>
      <c r="AH3" s="189" t="n"/>
      <c r="AI3" s="190" t="n"/>
      <c r="AJ3" s="9" t="n"/>
      <c r="AK3" s="1" t="n"/>
      <c r="AL3" s="1" t="n"/>
      <c r="AM3" s="225" t="n"/>
      <c r="AN3" s="225" t="n"/>
      <c r="AO3" s="225" t="n"/>
      <c r="AP3" s="225" t="n"/>
    </row>
    <row r="4" ht="12" customHeight="1"/>
    <row r="5" ht="12" customHeight="1">
      <c r="B5" s="39" t="inlineStr">
        <is>
          <t>2.2. 設計書一覧</t>
        </is>
      </c>
    </row>
    <row r="6" ht="12" customHeight="1">
      <c r="C6" t="inlineStr">
        <is>
          <t>出張旅費システム（出張申請サブシステム）で作成した設計書の一覧を以下に示す。「提供」列の○は本システムで作成した設計書、－は本システムでは作成対象外の設計書を表す。</t>
        </is>
      </c>
    </row>
    <row r="8">
      <c r="B8" s="49" t="inlineStr">
        <is>
          <t>成果物名称</t>
        </is>
      </c>
      <c r="C8" s="50" t="n"/>
      <c r="D8" s="50" t="n"/>
      <c r="E8" s="50" t="n"/>
      <c r="F8" s="50" t="n"/>
      <c r="G8" s="50" t="n"/>
      <c r="H8" s="50" t="n"/>
      <c r="I8" s="50" t="n"/>
      <c r="J8" s="50" t="n"/>
      <c r="K8" s="50" t="n"/>
      <c r="L8" s="50" t="n"/>
      <c r="M8" s="50" t="n"/>
      <c r="N8" s="50" t="n"/>
      <c r="O8" s="50" t="n"/>
      <c r="P8" s="50" t="n"/>
      <c r="Q8" s="50" t="n"/>
      <c r="R8" s="50" t="n"/>
      <c r="S8" s="50" t="n"/>
      <c r="T8" s="50" t="n"/>
      <c r="U8" s="50" t="n"/>
      <c r="V8" s="49" t="inlineStr">
        <is>
          <t>形式</t>
        </is>
      </c>
      <c r="W8" s="50" t="n"/>
      <c r="X8" s="49" t="inlineStr">
        <is>
          <t>説明</t>
        </is>
      </c>
      <c r="Y8" s="50" t="n"/>
      <c r="Z8" s="50" t="n"/>
      <c r="AA8" s="50" t="n"/>
      <c r="AB8" s="50" t="n"/>
      <c r="AC8" s="50" t="n"/>
      <c r="AD8" s="50" t="n"/>
      <c r="AE8" s="50" t="n"/>
      <c r="AF8" s="50" t="n"/>
      <c r="AG8" s="50" t="n"/>
      <c r="AH8" s="51" t="n"/>
      <c r="AI8" s="52" t="inlineStr">
        <is>
          <t>作成単位</t>
        </is>
      </c>
      <c r="AJ8" s="53" t="n"/>
      <c r="AK8" s="49" t="inlineStr">
        <is>
          <t>提供</t>
        </is>
      </c>
      <c r="AL8" s="51" t="n"/>
      <c r="AM8" s="50" t="inlineStr">
        <is>
          <t>ライセンス形態</t>
        </is>
      </c>
      <c r="AN8" s="50" t="n"/>
      <c r="AO8" s="50" t="n"/>
      <c r="AP8" s="51" t="n"/>
    </row>
    <row r="9">
      <c r="B9" s="49" t="inlineStr">
        <is>
          <t>カテゴリ</t>
        </is>
      </c>
      <c r="C9" s="50" t="n"/>
      <c r="D9" s="50" t="n"/>
      <c r="E9" s="50" t="n"/>
      <c r="F9" s="50" t="n"/>
      <c r="G9" s="50" t="n"/>
      <c r="H9" s="50" t="n"/>
      <c r="I9" s="50" t="n"/>
      <c r="J9" s="50" t="n"/>
      <c r="K9" s="50" t="n"/>
      <c r="L9" s="50" t="n"/>
      <c r="M9" s="50" t="n"/>
      <c r="N9" s="50" t="n"/>
      <c r="O9" s="50" t="n"/>
      <c r="P9" s="50" t="n"/>
      <c r="Q9" s="50" t="n"/>
      <c r="R9" s="50" t="n"/>
      <c r="S9" s="50" t="n"/>
      <c r="T9" s="50" t="n"/>
      <c r="U9" s="51" t="n"/>
      <c r="V9" s="54" t="n"/>
      <c r="W9" s="55" t="n"/>
      <c r="X9" s="54" t="n"/>
      <c r="Y9" s="55" t="n"/>
      <c r="Z9" s="55" t="n"/>
      <c r="AA9" s="55" t="n"/>
      <c r="AB9" s="55" t="n"/>
      <c r="AC9" s="55" t="n"/>
      <c r="AD9" s="55" t="n"/>
      <c r="AE9" s="55" t="n"/>
      <c r="AF9" s="55" t="n"/>
      <c r="AG9" s="55" t="n"/>
      <c r="AH9" s="56" t="n"/>
      <c r="AI9" s="57" t="n"/>
      <c r="AJ9" s="58" t="n"/>
      <c r="AK9" s="54" t="n"/>
      <c r="AL9" s="56" t="n"/>
      <c r="AM9" s="55" t="n"/>
      <c r="AN9" s="55" t="n"/>
      <c r="AO9" s="55" t="n"/>
      <c r="AP9" s="56" t="n"/>
    </row>
    <row r="10">
      <c r="B10" s="54" t="n"/>
      <c r="C10" s="49" t="inlineStr">
        <is>
          <t>小カテゴリ</t>
        </is>
      </c>
      <c r="D10" s="50" t="n"/>
      <c r="E10" s="50" t="n"/>
      <c r="F10" s="50" t="n"/>
      <c r="G10" s="50" t="n"/>
      <c r="H10" s="50" t="n"/>
      <c r="I10" s="50" t="n"/>
      <c r="J10" s="50" t="n"/>
      <c r="K10" s="50" t="n"/>
      <c r="L10" s="50" t="n"/>
      <c r="M10" s="50" t="n"/>
      <c r="N10" s="50" t="n"/>
      <c r="O10" s="50" t="n"/>
      <c r="P10" s="50" t="n"/>
      <c r="Q10" s="50" t="n"/>
      <c r="R10" s="50" t="n"/>
      <c r="S10" s="50" t="n"/>
      <c r="T10" s="50" t="n"/>
      <c r="U10" s="51" t="n"/>
      <c r="V10" s="54" t="n"/>
      <c r="W10" s="55" t="n"/>
      <c r="X10" s="54" t="n"/>
      <c r="Y10" s="55" t="n"/>
      <c r="Z10" s="55" t="n"/>
      <c r="AA10" s="55" t="n"/>
      <c r="AB10" s="55" t="n"/>
      <c r="AC10" s="55" t="n"/>
      <c r="AD10" s="55" t="n"/>
      <c r="AE10" s="55" t="n"/>
      <c r="AF10" s="55" t="n"/>
      <c r="AG10" s="55" t="n"/>
      <c r="AH10" s="56" t="n"/>
      <c r="AI10" s="57" t="n"/>
      <c r="AJ10" s="58" t="n"/>
      <c r="AK10" s="54" t="n"/>
      <c r="AL10" s="56" t="n"/>
      <c r="AM10" s="55" t="n"/>
      <c r="AN10" s="55" t="n"/>
      <c r="AO10" s="55" t="n"/>
      <c r="AP10" s="56" t="n"/>
    </row>
    <row r="11">
      <c r="B11" s="54" t="n"/>
      <c r="C11" s="54" t="n"/>
      <c r="D11" s="49" t="inlineStr">
        <is>
          <t>設計書名</t>
        </is>
      </c>
      <c r="E11" s="50" t="n"/>
      <c r="F11" s="50" t="n"/>
      <c r="G11" s="50" t="n"/>
      <c r="H11" s="50" t="n"/>
      <c r="I11" s="50" t="n"/>
      <c r="J11" s="50" t="n"/>
      <c r="K11" s="50" t="n"/>
      <c r="L11" s="50" t="n"/>
      <c r="M11" s="50" t="n"/>
      <c r="N11" s="50" t="n"/>
      <c r="O11" s="50" t="n"/>
      <c r="P11" s="50" t="n"/>
      <c r="Q11" s="50" t="n"/>
      <c r="R11" s="50" t="n"/>
      <c r="S11" s="50" t="n"/>
      <c r="T11" s="50" t="n"/>
      <c r="U11" s="51" t="n"/>
      <c r="V11" s="54" t="n"/>
      <c r="W11" s="55" t="n"/>
      <c r="X11" s="54" t="n"/>
      <c r="Y11" s="55" t="n"/>
      <c r="Z11" s="55" t="n"/>
      <c r="AA11" s="55" t="n"/>
      <c r="AB11" s="55" t="n"/>
      <c r="AC11" s="55" t="n"/>
      <c r="AD11" s="55" t="n"/>
      <c r="AE11" s="55" t="n"/>
      <c r="AF11" s="55" t="n"/>
      <c r="AG11" s="55" t="n"/>
      <c r="AH11" s="56" t="n"/>
      <c r="AI11" s="57" t="n"/>
      <c r="AJ11" s="58" t="n"/>
      <c r="AK11" s="54" t="n"/>
      <c r="AL11" s="56" t="n"/>
      <c r="AM11" s="55" t="n"/>
      <c r="AN11" s="55" t="n"/>
      <c r="AO11" s="55" t="n"/>
      <c r="AP11" s="56" t="n"/>
    </row>
    <row r="12">
      <c r="B12" s="59" t="inlineStr">
        <is>
          <t>開発プロセス標準</t>
        </is>
      </c>
      <c r="C12" s="60" t="n"/>
      <c r="D12" s="60" t="n"/>
      <c r="E12" s="60" t="n"/>
      <c r="F12" s="60" t="n"/>
      <c r="G12" s="60" t="n"/>
      <c r="H12" s="60" t="n"/>
      <c r="I12" s="60" t="n"/>
      <c r="J12" s="60" t="n"/>
      <c r="K12" s="60" t="n"/>
      <c r="L12" s="60" t="n"/>
      <c r="M12" s="60" t="n"/>
      <c r="N12" s="60" t="n"/>
      <c r="O12" s="60" t="n"/>
      <c r="P12" s="60" t="n"/>
      <c r="Q12" s="60" t="n"/>
      <c r="R12" s="60" t="n"/>
      <c r="S12" s="60" t="n"/>
      <c r="T12" s="60" t="n"/>
      <c r="U12" s="61" t="n"/>
      <c r="V12" s="62" t="n"/>
      <c r="W12" s="63" t="n"/>
      <c r="X12" s="62" t="n"/>
      <c r="Y12" s="64" t="n"/>
      <c r="Z12" s="64" t="n"/>
      <c r="AA12" s="64" t="n"/>
      <c r="AB12" s="64" t="n"/>
      <c r="AC12" s="64" t="n"/>
      <c r="AD12" s="64" t="n"/>
      <c r="AE12" s="64" t="n"/>
      <c r="AF12" s="64" t="n"/>
      <c r="AG12" s="64" t="n"/>
      <c r="AH12" s="63" t="n"/>
      <c r="AI12" s="62" t="n"/>
      <c r="AJ12" s="63" t="n"/>
      <c r="AK12" s="62" t="n"/>
      <c r="AL12" s="63" t="n"/>
      <c r="AM12" s="62" t="n"/>
      <c r="AN12" s="64" t="n"/>
      <c r="AO12" s="64" t="n"/>
      <c r="AP12" s="63" t="n"/>
    </row>
    <row r="13">
      <c r="B13" s="65" t="n"/>
      <c r="C13" s="66" t="n"/>
      <c r="D13" s="70" t="inlineStr">
        <is>
          <t>Nablarchを使用したシステム開発における標準WBS</t>
        </is>
      </c>
      <c r="E13" s="67" t="n"/>
      <c r="F13" s="67" t="n"/>
      <c r="G13" s="67" t="n"/>
      <c r="H13" s="67" t="n"/>
      <c r="I13" s="67" t="n"/>
      <c r="J13" s="67" t="n"/>
      <c r="K13" s="67" t="n"/>
      <c r="L13" s="67" t="n"/>
      <c r="M13" s="67" t="n"/>
      <c r="N13" s="67" t="n"/>
      <c r="O13" s="67" t="n"/>
      <c r="P13" s="67" t="n"/>
      <c r="Q13" s="67" t="n"/>
      <c r="R13" s="67" t="n"/>
      <c r="S13" s="67" t="n"/>
      <c r="T13" s="67" t="n"/>
      <c r="U13" s="68" t="n"/>
      <c r="V13" s="70" t="inlineStr">
        <is>
          <t>Excel</t>
        </is>
      </c>
      <c r="W13" s="68" t="n"/>
      <c r="X13" s="70" t="inlineStr">
        <is>
          <t>Nablarch開発標準を使った開発におけるWBSの全体像</t>
        </is>
      </c>
      <c r="Y13" s="67" t="n"/>
      <c r="Z13" s="67" t="n"/>
      <c r="AA13" s="67" t="n"/>
      <c r="AB13" s="67" t="n"/>
      <c r="AC13" s="67" t="n"/>
      <c r="AD13" s="67" t="n"/>
      <c r="AE13" s="67" t="n"/>
      <c r="AF13" s="67" t="n"/>
      <c r="AG13" s="67" t="n"/>
      <c r="AH13" s="68" t="n"/>
      <c r="AI13" s="73" t="inlineStr">
        <is>
          <t>-</t>
        </is>
      </c>
      <c r="AJ13" s="68" t="n"/>
      <c r="AK13" s="70" t="inlineStr">
        <is>
          <t>－</t>
        </is>
      </c>
      <c r="AL13" s="68" t="n"/>
      <c r="AM13" s="70" t="inlineStr">
        <is>
          <t>CC4</t>
        </is>
      </c>
      <c r="AN13" s="67" t="n"/>
      <c r="AO13" s="67" t="n"/>
      <c r="AP13" s="68" t="n"/>
    </row>
    <row r="14">
      <c r="B14" s="59" t="inlineStr">
        <is>
          <t>アプリケーション開発標準</t>
        </is>
      </c>
      <c r="C14" s="60" t="n"/>
      <c r="D14" s="60" t="n"/>
      <c r="E14" s="60" t="n"/>
      <c r="F14" s="60" t="n"/>
      <c r="G14" s="60" t="n"/>
      <c r="H14" s="60" t="n"/>
      <c r="I14" s="60" t="n"/>
      <c r="J14" s="60" t="n"/>
      <c r="K14" s="60" t="n"/>
      <c r="L14" s="60" t="n"/>
      <c r="M14" s="60" t="n"/>
      <c r="N14" s="60" t="n"/>
      <c r="O14" s="60" t="n"/>
      <c r="P14" s="60" t="n"/>
      <c r="Q14" s="60" t="n"/>
      <c r="R14" s="60" t="n"/>
      <c r="S14" s="60" t="n"/>
      <c r="T14" s="60" t="n"/>
      <c r="U14" s="61" t="n"/>
      <c r="V14" s="62" t="n"/>
      <c r="W14" s="63" t="n"/>
      <c r="X14" s="62" t="n"/>
      <c r="Y14" s="64" t="n"/>
      <c r="Z14" s="64" t="n"/>
      <c r="AA14" s="64" t="n"/>
      <c r="AB14" s="64" t="n"/>
      <c r="AC14" s="64" t="n"/>
      <c r="AD14" s="64" t="n"/>
      <c r="AE14" s="64" t="n"/>
      <c r="AF14" s="64" t="n"/>
      <c r="AG14" s="64" t="n"/>
      <c r="AH14" s="63" t="n"/>
      <c r="AI14" s="74" t="n"/>
      <c r="AJ14" s="63" t="n"/>
      <c r="AK14" s="62" t="n"/>
      <c r="AL14" s="63" t="n"/>
      <c r="AM14" s="62" t="n"/>
      <c r="AN14" s="64" t="n"/>
      <c r="AO14" s="64" t="n"/>
      <c r="AP14" s="63" t="n"/>
    </row>
    <row r="15">
      <c r="B15" s="69" t="n"/>
      <c r="C15" s="59" t="inlineStr">
        <is>
          <t>設計標準</t>
        </is>
      </c>
      <c r="D15" s="60" t="n"/>
      <c r="E15" s="60" t="n"/>
      <c r="F15" s="60" t="n"/>
      <c r="G15" s="60" t="n"/>
      <c r="H15" s="60" t="n"/>
      <c r="I15" s="60" t="n"/>
      <c r="J15" s="60" t="n"/>
      <c r="K15" s="60" t="n"/>
      <c r="L15" s="60" t="n"/>
      <c r="M15" s="60" t="n"/>
      <c r="N15" s="60" t="n"/>
      <c r="O15" s="60" t="n"/>
      <c r="P15" s="60" t="n"/>
      <c r="Q15" s="60" t="n"/>
      <c r="R15" s="60" t="n"/>
      <c r="S15" s="60" t="n"/>
      <c r="T15" s="60" t="n"/>
      <c r="U15" s="61" t="n"/>
      <c r="V15" s="62" t="n"/>
      <c r="W15" s="63" t="n"/>
      <c r="X15" s="62" t="n"/>
      <c r="Y15" s="64" t="n"/>
      <c r="Z15" s="64" t="n"/>
      <c r="AA15" s="64" t="n"/>
      <c r="AB15" s="64" t="n"/>
      <c r="AC15" s="64" t="n"/>
      <c r="AD15" s="64" t="n"/>
      <c r="AE15" s="64" t="n"/>
      <c r="AF15" s="64" t="n"/>
      <c r="AG15" s="64" t="n"/>
      <c r="AH15" s="63" t="n"/>
      <c r="AI15" s="74" t="n"/>
      <c r="AJ15" s="63" t="n"/>
      <c r="AK15" s="62" t="n"/>
      <c r="AL15" s="63" t="n"/>
      <c r="AM15" s="62" t="n"/>
      <c r="AN15" s="64" t="n"/>
      <c r="AO15" s="64" t="n"/>
      <c r="AP15" s="63" t="n"/>
    </row>
    <row r="16">
      <c r="B16" s="69" t="n"/>
      <c r="C16" s="69" t="n"/>
      <c r="D16" s="70" t="inlineStr">
        <is>
          <t>DB設計標準</t>
        </is>
      </c>
      <c r="E16" s="67" t="n"/>
      <c r="F16" s="67" t="n"/>
      <c r="G16" s="67" t="n"/>
      <c r="H16" s="67" t="n"/>
      <c r="I16" s="67" t="n"/>
      <c r="J16" s="67" t="n"/>
      <c r="K16" s="67" t="n"/>
      <c r="L16" s="67" t="n"/>
      <c r="M16" s="67" t="n"/>
      <c r="N16" s="67" t="n"/>
      <c r="O16" s="67" t="n"/>
      <c r="P16" s="67" t="n"/>
      <c r="Q16" s="67" t="n"/>
      <c r="R16" s="67" t="n"/>
      <c r="S16" s="67" t="n"/>
      <c r="T16" s="67" t="n"/>
      <c r="U16" s="68" t="n"/>
      <c r="V16" s="70" t="inlineStr">
        <is>
          <t>Word</t>
        </is>
      </c>
      <c r="W16" s="68" t="n"/>
      <c r="X16" s="70" t="inlineStr">
        <is>
          <t>DB設計における標準仕様の定義書</t>
        </is>
      </c>
      <c r="Y16" s="67" t="n"/>
      <c r="Z16" s="67" t="n"/>
      <c r="AA16" s="67" t="n"/>
      <c r="AB16" s="67" t="n"/>
      <c r="AC16" s="67" t="n"/>
      <c r="AD16" s="67" t="n"/>
      <c r="AE16" s="67" t="n"/>
      <c r="AF16" s="67" t="n"/>
      <c r="AG16" s="67" t="n"/>
      <c r="AH16" s="68" t="n"/>
      <c r="AI16" s="73" t="inlineStr">
        <is>
          <t>-</t>
        </is>
      </c>
      <c r="AJ16" s="68" t="n"/>
      <c r="AK16" s="70" t="inlineStr">
        <is>
          <t>－</t>
        </is>
      </c>
      <c r="AL16" s="68" t="n"/>
      <c r="AM16" s="70" t="inlineStr">
        <is>
          <t>CC4</t>
        </is>
      </c>
      <c r="AN16" s="67" t="n"/>
      <c r="AO16" s="67" t="n"/>
      <c r="AP16" s="68" t="n"/>
    </row>
    <row r="17">
      <c r="B17" s="69" t="n"/>
      <c r="C17" s="69" t="n"/>
      <c r="D17" s="70" t="inlineStr">
        <is>
          <t>UI標準(画面)</t>
        </is>
      </c>
      <c r="E17" s="67" t="n"/>
      <c r="F17" s="67" t="n"/>
      <c r="G17" s="67" t="n"/>
      <c r="H17" s="67" t="n"/>
      <c r="I17" s="67" t="n"/>
      <c r="J17" s="67" t="n"/>
      <c r="K17" s="67" t="n"/>
      <c r="L17" s="67" t="n"/>
      <c r="M17" s="67" t="n"/>
      <c r="N17" s="67" t="n"/>
      <c r="O17" s="67" t="n"/>
      <c r="P17" s="67" t="n"/>
      <c r="Q17" s="67" t="n"/>
      <c r="R17" s="67" t="n"/>
      <c r="S17" s="67" t="n"/>
      <c r="T17" s="67" t="n"/>
      <c r="U17" s="68" t="n"/>
      <c r="V17" s="70" t="inlineStr">
        <is>
          <t>Excel</t>
        </is>
      </c>
      <c r="W17" s="68" t="n"/>
      <c r="X17" s="70" t="inlineStr">
        <is>
          <t>UI（画面）のレイアウト等の標準仕様の定義書</t>
        </is>
      </c>
      <c r="Y17" s="67" t="n"/>
      <c r="Z17" s="67" t="n"/>
      <c r="AA17" s="67" t="n"/>
      <c r="AB17" s="67" t="n"/>
      <c r="AC17" s="67" t="n"/>
      <c r="AD17" s="67" t="n"/>
      <c r="AE17" s="67" t="n"/>
      <c r="AF17" s="67" t="n"/>
      <c r="AG17" s="67" t="n"/>
      <c r="AH17" s="68" t="n"/>
      <c r="AI17" s="73" t="inlineStr">
        <is>
          <t>-</t>
        </is>
      </c>
      <c r="AJ17" s="68" t="n"/>
      <c r="AK17" s="70" t="inlineStr">
        <is>
          <t>－</t>
        </is>
      </c>
      <c r="AL17" s="68" t="n"/>
      <c r="AM17" s="70" t="inlineStr">
        <is>
          <t>CC4</t>
        </is>
      </c>
      <c r="AN17" s="67" t="n"/>
      <c r="AO17" s="67" t="n"/>
      <c r="AP17" s="68" t="n"/>
    </row>
    <row r="18">
      <c r="B18" s="69" t="n"/>
      <c r="C18" s="69" t="n"/>
      <c r="D18" s="70" t="inlineStr">
        <is>
          <t>UI標準(画面)別冊_UI部品カタログ</t>
        </is>
      </c>
      <c r="E18" s="67" t="n"/>
      <c r="F18" s="67" t="n"/>
      <c r="G18" s="67" t="n"/>
      <c r="H18" s="67" t="n"/>
      <c r="I18" s="67" t="n"/>
      <c r="J18" s="67" t="n"/>
      <c r="K18" s="67" t="n"/>
      <c r="L18" s="67" t="n"/>
      <c r="M18" s="67" t="n"/>
      <c r="N18" s="67" t="n"/>
      <c r="O18" s="67" t="n"/>
      <c r="P18" s="67" t="n"/>
      <c r="Q18" s="67" t="n"/>
      <c r="R18" s="67" t="n"/>
      <c r="S18" s="67" t="n"/>
      <c r="T18" s="67" t="n"/>
      <c r="U18" s="68" t="n"/>
      <c r="V18" s="70" t="inlineStr">
        <is>
          <t>Excel</t>
        </is>
      </c>
      <c r="W18" s="68" t="n"/>
      <c r="X18" s="70" t="inlineStr">
        <is>
          <t>UI（画面）の入力部品標準仕様の定義書</t>
        </is>
      </c>
      <c r="Y18" s="67" t="n"/>
      <c r="Z18" s="67" t="n"/>
      <c r="AA18" s="67" t="n"/>
      <c r="AB18" s="67" t="n"/>
      <c r="AC18" s="67" t="n"/>
      <c r="AD18" s="67" t="n"/>
      <c r="AE18" s="67" t="n"/>
      <c r="AF18" s="67" t="n"/>
      <c r="AG18" s="67" t="n"/>
      <c r="AH18" s="68" t="n"/>
      <c r="AI18" s="73" t="inlineStr">
        <is>
          <t>-</t>
        </is>
      </c>
      <c r="AJ18" s="68" t="n"/>
      <c r="AK18" s="70" t="inlineStr">
        <is>
          <t>－</t>
        </is>
      </c>
      <c r="AL18" s="68" t="n"/>
      <c r="AM18" s="70" t="inlineStr">
        <is>
          <t>CC4</t>
        </is>
      </c>
      <c r="AN18" s="67" t="n"/>
      <c r="AO18" s="67" t="n"/>
      <c r="AP18" s="68" t="n"/>
    </row>
    <row r="19">
      <c r="B19" s="69" t="n"/>
      <c r="C19" s="69" t="n"/>
      <c r="D19" s="70" t="inlineStr">
        <is>
          <t>UI標準(帳票)</t>
        </is>
      </c>
      <c r="E19" s="67" t="n"/>
      <c r="F19" s="67" t="n"/>
      <c r="G19" s="67" t="n"/>
      <c r="H19" s="67" t="n"/>
      <c r="I19" s="67" t="n"/>
      <c r="J19" s="67" t="n"/>
      <c r="K19" s="67" t="n"/>
      <c r="L19" s="67" t="n"/>
      <c r="M19" s="67" t="n"/>
      <c r="N19" s="67" t="n"/>
      <c r="O19" s="67" t="n"/>
      <c r="P19" s="67" t="n"/>
      <c r="Q19" s="67" t="n"/>
      <c r="R19" s="67" t="n"/>
      <c r="S19" s="67" t="n"/>
      <c r="T19" s="67" t="n"/>
      <c r="U19" s="68" t="n"/>
      <c r="V19" s="70" t="inlineStr">
        <is>
          <t>Excel</t>
        </is>
      </c>
      <c r="W19" s="68" t="n"/>
      <c r="X19" s="70" t="inlineStr">
        <is>
          <t>UI（帳票）のレイアウト、サイズ、フォント等の標準仕様の定義書</t>
        </is>
      </c>
      <c r="Y19" s="67" t="n"/>
      <c r="Z19" s="67" t="n"/>
      <c r="AA19" s="67" t="n"/>
      <c r="AB19" s="67" t="n"/>
      <c r="AC19" s="67" t="n"/>
      <c r="AD19" s="67" t="n"/>
      <c r="AE19" s="67" t="n"/>
      <c r="AF19" s="67" t="n"/>
      <c r="AG19" s="67" t="n"/>
      <c r="AH19" s="68" t="n"/>
      <c r="AI19" s="73" t="inlineStr">
        <is>
          <t>-</t>
        </is>
      </c>
      <c r="AJ19" s="68" t="n"/>
      <c r="AK19" s="70" t="inlineStr">
        <is>
          <t>－</t>
        </is>
      </c>
      <c r="AL19" s="68" t="n"/>
      <c r="AM19" s="70" t="inlineStr">
        <is>
          <t>CC4</t>
        </is>
      </c>
      <c r="AN19" s="67" t="n"/>
      <c r="AO19" s="67" t="n"/>
      <c r="AP19" s="68" t="n"/>
    </row>
    <row r="20">
      <c r="B20" s="69" t="n"/>
      <c r="C20" s="65" t="n"/>
      <c r="D20" s="70" t="inlineStr">
        <is>
          <t>共通コンポーネント設計標準</t>
        </is>
      </c>
      <c r="E20" s="67" t="n"/>
      <c r="F20" s="67" t="n"/>
      <c r="G20" s="67" t="n"/>
      <c r="H20" s="67" t="n"/>
      <c r="I20" s="67" t="n"/>
      <c r="J20" s="67" t="n"/>
      <c r="K20" s="67" t="n"/>
      <c r="L20" s="67" t="n"/>
      <c r="M20" s="67" t="n"/>
      <c r="N20" s="67" t="n"/>
      <c r="O20" s="67" t="n"/>
      <c r="P20" s="67" t="n"/>
      <c r="Q20" s="67" t="n"/>
      <c r="R20" s="67" t="n"/>
      <c r="S20" s="67" t="n"/>
      <c r="T20" s="67" t="n"/>
      <c r="U20" s="68" t="n"/>
      <c r="V20" s="70" t="inlineStr">
        <is>
          <t>Word</t>
        </is>
      </c>
      <c r="W20" s="68" t="n"/>
      <c r="X20" s="70" t="inlineStr">
        <is>
          <t>共通コンポーネントにおける標準仕様の定義書</t>
        </is>
      </c>
      <c r="Y20" s="67" t="n"/>
      <c r="Z20" s="67" t="n"/>
      <c r="AA20" s="67" t="n"/>
      <c r="AB20" s="67" t="n"/>
      <c r="AC20" s="67" t="n"/>
      <c r="AD20" s="67" t="n"/>
      <c r="AE20" s="67" t="n"/>
      <c r="AF20" s="67" t="n"/>
      <c r="AG20" s="67" t="n"/>
      <c r="AH20" s="68" t="n"/>
      <c r="AI20" s="73" t="inlineStr">
        <is>
          <t>-</t>
        </is>
      </c>
      <c r="AJ20" s="68" t="n"/>
      <c r="AK20" s="70" t="inlineStr">
        <is>
          <t>－</t>
        </is>
      </c>
      <c r="AL20" s="68" t="n"/>
      <c r="AM20" s="70" t="inlineStr">
        <is>
          <t>CC4</t>
        </is>
      </c>
      <c r="AN20" s="67" t="n"/>
      <c r="AO20" s="67" t="n"/>
      <c r="AP20" s="68" t="n"/>
    </row>
    <row r="21">
      <c r="B21" s="69" t="n"/>
      <c r="C21" s="59" t="inlineStr">
        <is>
          <t>テスト標準</t>
        </is>
      </c>
      <c r="D21" s="60" t="n"/>
      <c r="E21" s="60" t="n"/>
      <c r="F21" s="60" t="n"/>
      <c r="G21" s="60" t="n"/>
      <c r="H21" s="60" t="n"/>
      <c r="I21" s="60" t="n"/>
      <c r="J21" s="60" t="n"/>
      <c r="K21" s="60" t="n"/>
      <c r="L21" s="60" t="n"/>
      <c r="M21" s="60" t="n"/>
      <c r="N21" s="60" t="n"/>
      <c r="O21" s="60" t="n"/>
      <c r="P21" s="60" t="n"/>
      <c r="Q21" s="60" t="n"/>
      <c r="R21" s="60" t="n"/>
      <c r="S21" s="60" t="n"/>
      <c r="T21" s="60" t="n"/>
      <c r="U21" s="61" t="n"/>
      <c r="V21" s="62" t="n"/>
      <c r="W21" s="63" t="n"/>
      <c r="X21" s="62" t="n"/>
      <c r="Y21" s="64" t="n"/>
      <c r="Z21" s="64" t="n"/>
      <c r="AA21" s="64" t="n"/>
      <c r="AB21" s="64" t="n"/>
      <c r="AC21" s="64" t="n"/>
      <c r="AD21" s="64" t="n"/>
      <c r="AE21" s="64" t="n"/>
      <c r="AF21" s="64" t="n"/>
      <c r="AG21" s="64" t="n"/>
      <c r="AH21" s="63" t="n"/>
      <c r="AI21" s="62" t="n"/>
      <c r="AJ21" s="63" t="n"/>
      <c r="AK21" s="62" t="n"/>
      <c r="AL21" s="63" t="n"/>
      <c r="AM21" s="62" t="n"/>
      <c r="AN21" s="64" t="n"/>
      <c r="AO21" s="64" t="n"/>
      <c r="AP21" s="63" t="n"/>
    </row>
    <row r="22">
      <c r="B22" s="65" t="n"/>
      <c r="C22" s="65" t="n"/>
      <c r="D22" s="70" t="inlineStr">
        <is>
          <t>単体テスト標準</t>
        </is>
      </c>
      <c r="E22" s="67" t="n"/>
      <c r="F22" s="67" t="n"/>
      <c r="G22" s="67" t="n"/>
      <c r="H22" s="67" t="n"/>
      <c r="I22" s="67" t="n"/>
      <c r="J22" s="67" t="n"/>
      <c r="K22" s="67" t="n"/>
      <c r="L22" s="67" t="n"/>
      <c r="M22" s="67" t="n"/>
      <c r="N22" s="67" t="n"/>
      <c r="O22" s="67" t="n"/>
      <c r="P22" s="67" t="n"/>
      <c r="Q22" s="67" t="n"/>
      <c r="R22" s="67" t="n"/>
      <c r="S22" s="67" t="n"/>
      <c r="T22" s="67" t="n"/>
      <c r="U22" s="68" t="n"/>
      <c r="V22" s="70" t="inlineStr">
        <is>
          <t>Excel</t>
        </is>
      </c>
      <c r="W22" s="68" t="n"/>
      <c r="X22" s="70" t="inlineStr">
        <is>
          <t>単体テストの設計や考え方を記した文書</t>
        </is>
      </c>
      <c r="Y22" s="67" t="n"/>
      <c r="Z22" s="67" t="n"/>
      <c r="AA22" s="67" t="n"/>
      <c r="AB22" s="67" t="n"/>
      <c r="AC22" s="67" t="n"/>
      <c r="AD22" s="67" t="n"/>
      <c r="AE22" s="67" t="n"/>
      <c r="AF22" s="67" t="n"/>
      <c r="AG22" s="67" t="n"/>
      <c r="AH22" s="68" t="n"/>
      <c r="AI22" s="73" t="inlineStr">
        <is>
          <t>-</t>
        </is>
      </c>
      <c r="AJ22" s="68" t="n"/>
      <c r="AK22" s="70" t="inlineStr">
        <is>
          <t>－</t>
        </is>
      </c>
      <c r="AL22" s="68" t="n"/>
      <c r="AM22" s="70" t="inlineStr">
        <is>
          <t>CC4</t>
        </is>
      </c>
      <c r="AN22" s="67" t="n"/>
      <c r="AO22" s="67" t="n"/>
      <c r="AP22" s="68" t="n"/>
    </row>
    <row r="23">
      <c r="B23" s="59" t="inlineStr">
        <is>
          <t>設計ドキュメント</t>
        </is>
      </c>
      <c r="C23" s="60" t="n"/>
      <c r="D23" s="60" t="n"/>
      <c r="E23" s="60" t="n"/>
      <c r="F23" s="60" t="n"/>
      <c r="G23" s="60" t="n"/>
      <c r="H23" s="60" t="n"/>
      <c r="I23" s="60" t="n"/>
      <c r="J23" s="60" t="n"/>
      <c r="K23" s="60" t="n"/>
      <c r="L23" s="60" t="n"/>
      <c r="M23" s="60" t="n"/>
      <c r="N23" s="60" t="n"/>
      <c r="O23" s="60" t="n"/>
      <c r="P23" s="60" t="n"/>
      <c r="Q23" s="60" t="n"/>
      <c r="R23" s="60" t="n"/>
      <c r="S23" s="60" t="n"/>
      <c r="T23" s="60" t="n"/>
      <c r="U23" s="61" t="n"/>
      <c r="V23" s="62" t="n"/>
      <c r="W23" s="63" t="n"/>
      <c r="X23" s="62" t="n"/>
      <c r="Y23" s="64" t="n"/>
      <c r="Z23" s="64" t="n"/>
      <c r="AA23" s="64" t="n"/>
      <c r="AB23" s="64" t="n"/>
      <c r="AC23" s="64" t="n"/>
      <c r="AD23" s="64" t="n"/>
      <c r="AE23" s="64" t="n"/>
      <c r="AF23" s="64" t="n"/>
      <c r="AG23" s="64" t="n"/>
      <c r="AH23" s="63" t="n"/>
      <c r="AI23" s="62" t="n"/>
      <c r="AJ23" s="63" t="n"/>
      <c r="AK23" s="62" t="n"/>
      <c r="AL23" s="63" t="n"/>
      <c r="AM23" s="62" t="n"/>
      <c r="AN23" s="64" t="n"/>
      <c r="AO23" s="64" t="n"/>
      <c r="AP23" s="63" t="n"/>
    </row>
    <row r="24">
      <c r="B24" s="69" t="n"/>
      <c r="C24" s="59" t="inlineStr">
        <is>
          <t>標準書式</t>
        </is>
      </c>
      <c r="D24" s="60" t="n"/>
      <c r="E24" s="60" t="n"/>
      <c r="F24" s="60" t="n"/>
      <c r="G24" s="60" t="n"/>
      <c r="H24" s="60" t="n"/>
      <c r="I24" s="60" t="n"/>
      <c r="J24" s="60" t="n"/>
      <c r="K24" s="60" t="n"/>
      <c r="L24" s="60" t="n"/>
      <c r="M24" s="60" t="n"/>
      <c r="N24" s="60" t="n"/>
      <c r="O24" s="60" t="n"/>
      <c r="P24" s="60" t="n"/>
      <c r="Q24" s="60" t="n"/>
      <c r="R24" s="60" t="n"/>
      <c r="S24" s="60" t="n"/>
      <c r="T24" s="60" t="n"/>
      <c r="U24" s="61" t="n"/>
      <c r="V24" s="62" t="n"/>
      <c r="W24" s="63" t="n"/>
      <c r="X24" s="62" t="n"/>
      <c r="Y24" s="64" t="n"/>
      <c r="Z24" s="64" t="n"/>
      <c r="AA24" s="64" t="n"/>
      <c r="AB24" s="64" t="n"/>
      <c r="AC24" s="64" t="n"/>
      <c r="AD24" s="64" t="n"/>
      <c r="AE24" s="64" t="n"/>
      <c r="AF24" s="64" t="n"/>
      <c r="AG24" s="64" t="n"/>
      <c r="AH24" s="63" t="n"/>
      <c r="AI24" s="62" t="n"/>
      <c r="AJ24" s="63" t="n"/>
      <c r="AK24" s="62" t="n"/>
      <c r="AL24" s="63" t="n"/>
      <c r="AM24" s="62" t="n"/>
      <c r="AN24" s="64" t="n"/>
      <c r="AO24" s="64" t="n"/>
      <c r="AP24" s="63" t="n"/>
    </row>
    <row r="25">
      <c r="B25" s="69" t="n"/>
      <c r="C25" s="69" t="n"/>
      <c r="D25" s="70" t="inlineStr">
        <is>
          <t>Excel開発標準書式</t>
        </is>
      </c>
      <c r="E25" s="67" t="n"/>
      <c r="F25" s="67" t="n"/>
      <c r="G25" s="67" t="n"/>
      <c r="H25" s="67" t="n"/>
      <c r="I25" s="67" t="n"/>
      <c r="J25" s="67" t="n"/>
      <c r="K25" s="67" t="n"/>
      <c r="L25" s="67" t="n"/>
      <c r="M25" s="67" t="n"/>
      <c r="N25" s="67" t="n"/>
      <c r="O25" s="67" t="n"/>
      <c r="P25" s="67" t="n"/>
      <c r="Q25" s="67" t="n"/>
      <c r="R25" s="67" t="n"/>
      <c r="S25" s="67" t="n"/>
      <c r="T25" s="67" t="n"/>
      <c r="U25" s="68" t="n"/>
      <c r="V25" s="70" t="inlineStr">
        <is>
          <t>Excel</t>
        </is>
      </c>
      <c r="W25" s="68" t="n"/>
      <c r="X25" s="70" t="inlineStr">
        <is>
          <t>Excelのドキュメントの標準書式を定義したファイル</t>
        </is>
      </c>
      <c r="Y25" s="67" t="n"/>
      <c r="Z25" s="67" t="n"/>
      <c r="AA25" s="67" t="n"/>
      <c r="AB25" s="67" t="n"/>
      <c r="AC25" s="67" t="n"/>
      <c r="AD25" s="67" t="n"/>
      <c r="AE25" s="67" t="n"/>
      <c r="AF25" s="67" t="n"/>
      <c r="AG25" s="67" t="n"/>
      <c r="AH25" s="68" t="n"/>
      <c r="AI25" s="70" t="inlineStr">
        <is>
          <t>-</t>
        </is>
      </c>
      <c r="AJ25" s="68" t="n"/>
      <c r="AK25" s="70" t="inlineStr">
        <is>
          <t>－</t>
        </is>
      </c>
      <c r="AL25" s="68" t="n"/>
      <c r="AM25" s="70" t="inlineStr">
        <is>
          <t>CC4</t>
        </is>
      </c>
      <c r="AN25" s="67" t="n"/>
      <c r="AO25" s="67" t="n"/>
      <c r="AP25" s="68" t="n"/>
    </row>
    <row r="26">
      <c r="B26" s="69" t="n"/>
      <c r="C26" s="65" t="n"/>
      <c r="D26" s="70" t="inlineStr">
        <is>
          <t>Word開発標準書式</t>
        </is>
      </c>
      <c r="E26" s="67" t="n"/>
      <c r="F26" s="67" t="n"/>
      <c r="G26" s="67" t="n"/>
      <c r="H26" s="67" t="n"/>
      <c r="I26" s="67" t="n"/>
      <c r="J26" s="67" t="n"/>
      <c r="K26" s="67" t="n"/>
      <c r="L26" s="67" t="n"/>
      <c r="M26" s="67" t="n"/>
      <c r="N26" s="67" t="n"/>
      <c r="O26" s="67" t="n"/>
      <c r="P26" s="67" t="n"/>
      <c r="Q26" s="67" t="n"/>
      <c r="R26" s="67" t="n"/>
      <c r="S26" s="67" t="n"/>
      <c r="T26" s="67" t="n"/>
      <c r="U26" s="68" t="n"/>
      <c r="V26" s="70" t="inlineStr">
        <is>
          <t>Word</t>
        </is>
      </c>
      <c r="W26" s="68" t="n"/>
      <c r="X26" s="70" t="inlineStr">
        <is>
          <t>Wordのドキュメントの標準書式を定義したファイル</t>
        </is>
      </c>
      <c r="Y26" s="67" t="n"/>
      <c r="Z26" s="67" t="n"/>
      <c r="AA26" s="67" t="n"/>
      <c r="AB26" s="67" t="n"/>
      <c r="AC26" s="67" t="n"/>
      <c r="AD26" s="67" t="n"/>
      <c r="AE26" s="67" t="n"/>
      <c r="AF26" s="67" t="n"/>
      <c r="AG26" s="67" t="n"/>
      <c r="AH26" s="68" t="n"/>
      <c r="AI26" s="70" t="inlineStr">
        <is>
          <t>-</t>
        </is>
      </c>
      <c r="AJ26" s="68" t="n"/>
      <c r="AK26" s="70" t="inlineStr">
        <is>
          <t>－</t>
        </is>
      </c>
      <c r="AL26" s="68" t="n"/>
      <c r="AM26" s="70" t="inlineStr">
        <is>
          <t>CC4</t>
        </is>
      </c>
      <c r="AN26" s="67" t="n"/>
      <c r="AO26" s="67" t="n"/>
      <c r="AP26" s="68" t="n"/>
    </row>
    <row r="27">
      <c r="B27" s="69" t="n"/>
      <c r="C27" s="59" t="inlineStr">
        <is>
          <t>システム機能設計</t>
        </is>
      </c>
      <c r="D27" s="60" t="n"/>
      <c r="E27" s="60" t="n"/>
      <c r="F27" s="60" t="n"/>
      <c r="G27" s="60" t="n"/>
      <c r="H27" s="60" t="n"/>
      <c r="I27" s="60" t="n"/>
      <c r="J27" s="60" t="n"/>
      <c r="K27" s="60" t="n"/>
      <c r="L27" s="60" t="n"/>
      <c r="M27" s="60" t="n"/>
      <c r="N27" s="60" t="n"/>
      <c r="O27" s="60" t="n"/>
      <c r="P27" s="60" t="n"/>
      <c r="Q27" s="60" t="n"/>
      <c r="R27" s="60" t="n"/>
      <c r="S27" s="60" t="n"/>
      <c r="T27" s="60" t="n"/>
      <c r="U27" s="61" t="n"/>
      <c r="V27" s="62" t="n"/>
      <c r="W27" s="63" t="n"/>
      <c r="X27" s="62" t="n"/>
      <c r="Y27" s="64" t="n"/>
      <c r="Z27" s="64" t="n"/>
      <c r="AA27" s="64" t="n"/>
      <c r="AB27" s="64" t="n"/>
      <c r="AC27" s="64" t="n"/>
      <c r="AD27" s="64" t="n"/>
      <c r="AE27" s="64" t="n"/>
      <c r="AF27" s="64" t="n"/>
      <c r="AG27" s="64" t="n"/>
      <c r="AH27" s="63" t="n"/>
      <c r="AI27" s="62" t="n"/>
      <c r="AJ27" s="63" t="n"/>
      <c r="AK27" s="62" t="n"/>
      <c r="AL27" s="63" t="n"/>
      <c r="AM27" s="62" t="n"/>
      <c r="AN27" s="64" t="n"/>
      <c r="AO27" s="64" t="n"/>
      <c r="AP27" s="63" t="n"/>
    </row>
    <row r="28">
      <c r="B28" s="69" t="n"/>
      <c r="C28" s="69" t="n"/>
      <c r="D28" s="70" t="inlineStr">
        <is>
          <t>システム処理フロー_(サブシステムID)_(サブシステム名)</t>
        </is>
      </c>
      <c r="E28" s="67" t="n"/>
      <c r="F28" s="67" t="n"/>
      <c r="G28" s="67" t="n"/>
      <c r="H28" s="67" t="n"/>
      <c r="I28" s="67" t="n"/>
      <c r="J28" s="67" t="n"/>
      <c r="K28" s="67" t="n"/>
      <c r="L28" s="67" t="n"/>
      <c r="M28" s="67" t="n"/>
      <c r="N28" s="67" t="n"/>
      <c r="O28" s="67" t="n"/>
      <c r="P28" s="67" t="n"/>
      <c r="Q28" s="67" t="n"/>
      <c r="R28" s="67" t="n"/>
      <c r="S28" s="67" t="n"/>
      <c r="T28" s="67" t="n"/>
      <c r="U28" s="68" t="n"/>
      <c r="V28" s="70" t="inlineStr">
        <is>
          <t>Excel</t>
        </is>
      </c>
      <c r="W28" s="68" t="n"/>
      <c r="X28" s="70" t="inlineStr">
        <is>
          <t>各機能、取引の関連を定義【本システム: BT 出張申請】</t>
        </is>
      </c>
      <c r="Y28" s="67" t="n"/>
      <c r="Z28" s="67" t="n"/>
      <c r="AA28" s="67" t="n"/>
      <c r="AB28" s="67" t="n"/>
      <c r="AC28" s="67" t="n"/>
      <c r="AD28" s="67" t="n"/>
      <c r="AE28" s="67" t="n"/>
      <c r="AF28" s="67" t="n"/>
      <c r="AG28" s="67" t="n"/>
      <c r="AH28" s="68" t="n"/>
      <c r="AI28" s="70" t="inlineStr">
        <is>
          <t>サブシステム</t>
        </is>
      </c>
      <c r="AJ28" s="68" t="n"/>
      <c r="AK28" s="70" t="inlineStr">
        <is>
          <t>○</t>
        </is>
      </c>
      <c r="AL28" s="68" t="n"/>
      <c r="AM28" s="70" t="inlineStr">
        <is>
          <t>CC4</t>
        </is>
      </c>
      <c r="AN28" s="67" t="n"/>
      <c r="AO28" s="67" t="n"/>
      <c r="AP28" s="68" t="n"/>
    </row>
    <row r="29">
      <c r="B29" s="69" t="n"/>
      <c r="C29" s="69" t="n"/>
      <c r="D29" s="70" t="inlineStr">
        <is>
          <t>システム機能一覧_(サブシステムID)_(サブシステム名)</t>
        </is>
      </c>
      <c r="E29" s="67" t="n"/>
      <c r="F29" s="67" t="n"/>
      <c r="G29" s="67" t="n"/>
      <c r="H29" s="67" t="n"/>
      <c r="I29" s="67" t="n"/>
      <c r="J29" s="67" t="n"/>
      <c r="K29" s="67" t="n"/>
      <c r="L29" s="67" t="n"/>
      <c r="M29" s="67" t="n"/>
      <c r="N29" s="67" t="n"/>
      <c r="O29" s="67" t="n"/>
      <c r="P29" s="67" t="n"/>
      <c r="Q29" s="67" t="n"/>
      <c r="R29" s="67" t="n"/>
      <c r="S29" s="67" t="n"/>
      <c r="T29" s="67" t="n"/>
      <c r="U29" s="68" t="n"/>
      <c r="V29" s="70" t="inlineStr">
        <is>
          <t>Excel</t>
        </is>
      </c>
      <c r="W29" s="68" t="n"/>
      <c r="X29" s="70" t="inlineStr">
        <is>
          <t>システムで実現する機能の一覧を定義【本システム: BT 出張申請】</t>
        </is>
      </c>
      <c r="Y29" s="67" t="n"/>
      <c r="Z29" s="67" t="n"/>
      <c r="AA29" s="67" t="n"/>
      <c r="AB29" s="67" t="n"/>
      <c r="AC29" s="67" t="n"/>
      <c r="AD29" s="67" t="n"/>
      <c r="AE29" s="67" t="n"/>
      <c r="AF29" s="67" t="n"/>
      <c r="AG29" s="67" t="n"/>
      <c r="AH29" s="68" t="n"/>
      <c r="AI29" s="70" t="inlineStr">
        <is>
          <t>サブシステム</t>
        </is>
      </c>
      <c r="AJ29" s="68" t="n"/>
      <c r="AK29" s="70" t="inlineStr">
        <is>
          <t>○</t>
        </is>
      </c>
      <c r="AL29" s="68" t="n"/>
      <c r="AM29" s="70" t="inlineStr">
        <is>
          <t>CC4</t>
        </is>
      </c>
      <c r="AN29" s="67" t="n"/>
      <c r="AO29" s="67" t="n"/>
      <c r="AP29" s="68" t="n"/>
    </row>
    <row r="30">
      <c r="B30" s="69" t="n"/>
      <c r="C30" s="69" t="n"/>
      <c r="D30" s="70" t="inlineStr">
        <is>
          <t>システム機能設計書(Webサービス)_(取引ID)_(取引名)</t>
        </is>
      </c>
      <c r="E30" s="67" t="n"/>
      <c r="F30" s="67" t="n"/>
      <c r="G30" s="67" t="n"/>
      <c r="H30" s="67" t="n"/>
      <c r="I30" s="67" t="n"/>
      <c r="J30" s="67" t="n"/>
      <c r="K30" s="67" t="n"/>
      <c r="L30" s="67" t="n"/>
      <c r="M30" s="67" t="n"/>
      <c r="N30" s="67" t="n"/>
      <c r="O30" s="67" t="n"/>
      <c r="P30" s="67" t="n"/>
      <c r="Q30" s="67" t="n"/>
      <c r="R30" s="67" t="n"/>
      <c r="S30" s="67" t="n"/>
      <c r="T30" s="67" t="n"/>
      <c r="U30" s="68" t="n"/>
      <c r="V30" s="70" t="inlineStr">
        <is>
          <t>Excel</t>
        </is>
      </c>
      <c r="W30" s="68" t="n"/>
      <c r="X30" s="70" t="inlineStr">
        <is>
          <t>システム（Webサービス）で実現する機能の仕様の定義書</t>
        </is>
      </c>
      <c r="Y30" s="67" t="n"/>
      <c r="Z30" s="67" t="n"/>
      <c r="AA30" s="67" t="n"/>
      <c r="AB30" s="67" t="n"/>
      <c r="AC30" s="67" t="n"/>
      <c r="AD30" s="67" t="n"/>
      <c r="AE30" s="67" t="n"/>
      <c r="AF30" s="67" t="n"/>
      <c r="AG30" s="67" t="n"/>
      <c r="AH30" s="68" t="n"/>
      <c r="AI30" s="70" t="inlineStr">
        <is>
          <t>取引</t>
        </is>
      </c>
      <c r="AJ30" s="68" t="n"/>
      <c r="AK30" s="70" t="inlineStr">
        <is>
          <t>－</t>
        </is>
      </c>
      <c r="AL30" s="68" t="n"/>
      <c r="AM30" s="70" t="inlineStr">
        <is>
          <t>CC4</t>
        </is>
      </c>
      <c r="AN30" s="67" t="n"/>
      <c r="AO30" s="67" t="n"/>
      <c r="AP30" s="68" t="n"/>
    </row>
    <row r="31">
      <c r="B31" s="69" t="n"/>
      <c r="C31" s="69" t="n"/>
      <c r="D31" s="70" t="inlineStr">
        <is>
          <t>システム機能設計書(バッチ)_(取引ID)_(取引名)</t>
        </is>
      </c>
      <c r="E31" s="67" t="n"/>
      <c r="F31" s="67" t="n"/>
      <c r="G31" s="67" t="n"/>
      <c r="H31" s="67" t="n"/>
      <c r="I31" s="67" t="n"/>
      <c r="J31" s="67" t="n"/>
      <c r="K31" s="67" t="n"/>
      <c r="L31" s="67" t="n"/>
      <c r="M31" s="67" t="n"/>
      <c r="N31" s="67" t="n"/>
      <c r="O31" s="67" t="n"/>
      <c r="P31" s="67" t="n"/>
      <c r="Q31" s="67" t="n"/>
      <c r="R31" s="67" t="n"/>
      <c r="S31" s="67" t="n"/>
      <c r="T31" s="67" t="n"/>
      <c r="U31" s="68" t="n"/>
      <c r="V31" s="70" t="inlineStr">
        <is>
          <t>Excel</t>
        </is>
      </c>
      <c r="W31" s="68" t="n"/>
      <c r="X31" s="70" t="inlineStr">
        <is>
          <t>システム（バッチ）で実現する機能の仕様の定義書【本システム: BTB01 経理連携ファイル作成】</t>
        </is>
      </c>
      <c r="Y31" s="67" t="n"/>
      <c r="Z31" s="67" t="n"/>
      <c r="AA31" s="67" t="n"/>
      <c r="AB31" s="67" t="n"/>
      <c r="AC31" s="67" t="n"/>
      <c r="AD31" s="67" t="n"/>
      <c r="AE31" s="67" t="n"/>
      <c r="AF31" s="67" t="n"/>
      <c r="AG31" s="67" t="n"/>
      <c r="AH31" s="68" t="n"/>
      <c r="AI31" s="70" t="inlineStr">
        <is>
          <t>取引</t>
        </is>
      </c>
      <c r="AJ31" s="68" t="n"/>
      <c r="AK31" s="70" t="inlineStr">
        <is>
          <t>○</t>
        </is>
      </c>
      <c r="AL31" s="68" t="n"/>
      <c r="AM31" s="70" t="inlineStr">
        <is>
          <t>CC4</t>
        </is>
      </c>
      <c r="AN31" s="67" t="n"/>
      <c r="AO31" s="67" t="n"/>
      <c r="AP31" s="68" t="n"/>
    </row>
    <row r="32">
      <c r="B32" s="69" t="n"/>
      <c r="C32" s="69" t="n"/>
      <c r="D32" s="70" t="inlineStr">
        <is>
          <t>システム機能設計書(メッセージング)_(取引ID)_(取引名)</t>
        </is>
      </c>
      <c r="E32" s="67" t="n"/>
      <c r="F32" s="67" t="n"/>
      <c r="G32" s="67" t="n"/>
      <c r="H32" s="67" t="n"/>
      <c r="I32" s="67" t="n"/>
      <c r="J32" s="67" t="n"/>
      <c r="K32" s="67" t="n"/>
      <c r="L32" s="67" t="n"/>
      <c r="M32" s="67" t="n"/>
      <c r="N32" s="67" t="n"/>
      <c r="O32" s="67" t="n"/>
      <c r="P32" s="67" t="n"/>
      <c r="Q32" s="67" t="n"/>
      <c r="R32" s="67" t="n"/>
      <c r="S32" s="67" t="n"/>
      <c r="T32" s="67" t="n"/>
      <c r="U32" s="68" t="n"/>
      <c r="V32" s="70" t="inlineStr">
        <is>
          <t>Excel</t>
        </is>
      </c>
      <c r="W32" s="68" t="n"/>
      <c r="X32" s="70" t="inlineStr">
        <is>
          <t>システム（メッセージング）で実現する機能の仕様の定義書</t>
        </is>
      </c>
      <c r="Y32" s="67" t="n"/>
      <c r="Z32" s="67" t="n"/>
      <c r="AA32" s="67" t="n"/>
      <c r="AB32" s="67" t="n"/>
      <c r="AC32" s="67" t="n"/>
      <c r="AD32" s="67" t="n"/>
      <c r="AE32" s="67" t="n"/>
      <c r="AF32" s="67" t="n"/>
      <c r="AG32" s="67" t="n"/>
      <c r="AH32" s="68" t="n"/>
      <c r="AI32" s="70" t="inlineStr">
        <is>
          <t>取引</t>
        </is>
      </c>
      <c r="AJ32" s="68" t="n"/>
      <c r="AK32" s="70" t="inlineStr">
        <is>
          <t>－</t>
        </is>
      </c>
      <c r="AL32" s="68" t="n"/>
      <c r="AM32" s="70" t="inlineStr">
        <is>
          <t>CC4</t>
        </is>
      </c>
      <c r="AN32" s="67" t="n"/>
      <c r="AO32" s="67" t="n"/>
      <c r="AP32" s="68" t="n"/>
    </row>
    <row r="33">
      <c r="B33" s="69" t="n"/>
      <c r="C33" s="69" t="n"/>
      <c r="D33" s="70" t="inlineStr">
        <is>
          <t>システム機能設計書(画面)_(取引ID)_(取引名)</t>
        </is>
      </c>
      <c r="E33" s="67" t="n"/>
      <c r="F33" s="67" t="n"/>
      <c r="G33" s="67" t="n"/>
      <c r="H33" s="67" t="n"/>
      <c r="I33" s="67" t="n"/>
      <c r="J33" s="67" t="n"/>
      <c r="K33" s="67" t="n"/>
      <c r="L33" s="67" t="n"/>
      <c r="M33" s="67" t="n"/>
      <c r="N33" s="67" t="n"/>
      <c r="O33" s="67" t="n"/>
      <c r="P33" s="67" t="n"/>
      <c r="Q33" s="67" t="n"/>
      <c r="R33" s="67" t="n"/>
      <c r="S33" s="67" t="n"/>
      <c r="T33" s="67" t="n"/>
      <c r="U33" s="68" t="n"/>
      <c r="V33" s="70" t="inlineStr">
        <is>
          <t>Excel</t>
        </is>
      </c>
      <c r="W33" s="68" t="n"/>
      <c r="X33" s="70" t="inlineStr">
        <is>
          <t>システム（画面）で実現する機能の仕様の定義書【本システム: BTS01 出張申請登録／BTS02 事前承認／BTS03 出張実績登録／BTS04 最終承認／BTS05 出張申請一覧】</t>
        </is>
      </c>
      <c r="Y33" s="67" t="n"/>
      <c r="Z33" s="67" t="n"/>
      <c r="AA33" s="67" t="n"/>
      <c r="AB33" s="67" t="n"/>
      <c r="AC33" s="67" t="n"/>
      <c r="AD33" s="67" t="n"/>
      <c r="AE33" s="67" t="n"/>
      <c r="AF33" s="67" t="n"/>
      <c r="AG33" s="67" t="n"/>
      <c r="AH33" s="68" t="n"/>
      <c r="AI33" s="70" t="inlineStr">
        <is>
          <t>取引</t>
        </is>
      </c>
      <c r="AJ33" s="68" t="n"/>
      <c r="AK33" s="70" t="inlineStr">
        <is>
          <t>○</t>
        </is>
      </c>
      <c r="AL33" s="68" t="n"/>
      <c r="AM33" s="70" t="inlineStr">
        <is>
          <t>CC4</t>
        </is>
      </c>
      <c r="AN33" s="67" t="n"/>
      <c r="AO33" s="67" t="n"/>
      <c r="AP33" s="68" t="n"/>
    </row>
    <row r="34">
      <c r="B34" s="69" t="n"/>
      <c r="C34" s="65" t="n"/>
      <c r="D34" s="70" t="inlineStr">
        <is>
          <t>リクエスト一覧_(サブシステムID)_(サブシステム名)</t>
        </is>
      </c>
      <c r="E34" s="67" t="n"/>
      <c r="F34" s="67" t="n"/>
      <c r="G34" s="67" t="n"/>
      <c r="H34" s="67" t="n"/>
      <c r="I34" s="67" t="n"/>
      <c r="J34" s="67" t="n"/>
      <c r="K34" s="67" t="n"/>
      <c r="L34" s="67" t="n"/>
      <c r="M34" s="67" t="n"/>
      <c r="N34" s="67" t="n"/>
      <c r="O34" s="67" t="n"/>
      <c r="P34" s="67" t="n"/>
      <c r="Q34" s="67" t="n"/>
      <c r="R34" s="67" t="n"/>
      <c r="S34" s="67" t="n"/>
      <c r="T34" s="67" t="n"/>
      <c r="U34" s="68" t="n"/>
      <c r="V34" s="70" t="inlineStr">
        <is>
          <t>Excel</t>
        </is>
      </c>
      <c r="W34" s="68" t="n"/>
      <c r="X34" s="70" t="inlineStr">
        <is>
          <t>処理依頼（イベント）の種類につけるID、名称を定義【本システム: BT 出張申請】</t>
        </is>
      </c>
      <c r="Y34" s="67" t="n"/>
      <c r="Z34" s="67" t="n"/>
      <c r="AA34" s="67" t="n"/>
      <c r="AB34" s="67" t="n"/>
      <c r="AC34" s="67" t="n"/>
      <c r="AD34" s="67" t="n"/>
      <c r="AE34" s="67" t="n"/>
      <c r="AF34" s="67" t="n"/>
      <c r="AG34" s="67" t="n"/>
      <c r="AH34" s="68" t="n"/>
      <c r="AI34" s="70" t="inlineStr">
        <is>
          <t>サブシステム</t>
        </is>
      </c>
      <c r="AJ34" s="68" t="n"/>
      <c r="AK34" s="70" t="inlineStr">
        <is>
          <t>○</t>
        </is>
      </c>
      <c r="AL34" s="68" t="n"/>
      <c r="AM34" s="70" t="inlineStr">
        <is>
          <t>CC4</t>
        </is>
      </c>
      <c r="AN34" s="67" t="n"/>
      <c r="AO34" s="67" t="n"/>
      <c r="AP34" s="68" t="n"/>
    </row>
    <row r="35">
      <c r="B35" s="69" t="n"/>
      <c r="C35" s="59" t="inlineStr">
        <is>
          <t>共通コンポーネント設計</t>
        </is>
      </c>
      <c r="D35" s="60" t="n"/>
      <c r="E35" s="60" t="n"/>
      <c r="F35" s="60" t="n"/>
      <c r="G35" s="60" t="n"/>
      <c r="H35" s="60" t="n"/>
      <c r="I35" s="60" t="n"/>
      <c r="J35" s="60" t="n"/>
      <c r="K35" s="60" t="n"/>
      <c r="L35" s="60" t="n"/>
      <c r="M35" s="60" t="n"/>
      <c r="N35" s="60" t="n"/>
      <c r="O35" s="60" t="n"/>
      <c r="P35" s="60" t="n"/>
      <c r="Q35" s="60" t="n"/>
      <c r="R35" s="60" t="n"/>
      <c r="S35" s="60" t="n"/>
      <c r="T35" s="60" t="n"/>
      <c r="U35" s="61" t="n"/>
      <c r="V35" s="62" t="n"/>
      <c r="W35" s="63" t="n"/>
      <c r="X35" s="62" t="n"/>
      <c r="Y35" s="64" t="n"/>
      <c r="Z35" s="64" t="n"/>
      <c r="AA35" s="64" t="n"/>
      <c r="AB35" s="64" t="n"/>
      <c r="AC35" s="64" t="n"/>
      <c r="AD35" s="64" t="n"/>
      <c r="AE35" s="64" t="n"/>
      <c r="AF35" s="64" t="n"/>
      <c r="AG35" s="64" t="n"/>
      <c r="AH35" s="63" t="n"/>
      <c r="AI35" s="62" t="n"/>
      <c r="AJ35" s="63" t="n"/>
      <c r="AK35" s="62" t="n"/>
      <c r="AL35" s="63" t="n"/>
      <c r="AM35" s="62" t="n"/>
      <c r="AN35" s="64" t="n"/>
      <c r="AO35" s="64" t="n"/>
      <c r="AP35" s="63" t="n"/>
    </row>
    <row r="36">
      <c r="B36" s="69" t="n"/>
      <c r="C36" s="69" t="n"/>
      <c r="D36" s="70" t="inlineStr">
        <is>
          <t>共通コンポーネント一覧_(サブシステムID)_(サブシステム名)</t>
        </is>
      </c>
      <c r="E36" s="67" t="n"/>
      <c r="F36" s="67" t="n"/>
      <c r="G36" s="67" t="n"/>
      <c r="H36" s="67" t="n"/>
      <c r="I36" s="67" t="n"/>
      <c r="J36" s="67" t="n"/>
      <c r="K36" s="67" t="n"/>
      <c r="L36" s="67" t="n"/>
      <c r="M36" s="67" t="n"/>
      <c r="N36" s="67" t="n"/>
      <c r="O36" s="67" t="n"/>
      <c r="P36" s="67" t="n"/>
      <c r="Q36" s="67" t="n"/>
      <c r="R36" s="67" t="n"/>
      <c r="S36" s="67" t="n"/>
      <c r="T36" s="67" t="n"/>
      <c r="U36" s="68" t="n"/>
      <c r="V36" s="70" t="inlineStr">
        <is>
          <t>Excel</t>
        </is>
      </c>
      <c r="W36" s="68" t="n"/>
      <c r="X36" s="70" t="inlineStr">
        <is>
          <t>共通コンポーネントのID、名称を定義する。【本システム: BT 出張申請】</t>
        </is>
      </c>
      <c r="Y36" s="67" t="n"/>
      <c r="Z36" s="67" t="n"/>
      <c r="AA36" s="67" t="n"/>
      <c r="AB36" s="67" t="n"/>
      <c r="AC36" s="67" t="n"/>
      <c r="AD36" s="67" t="n"/>
      <c r="AE36" s="67" t="n"/>
      <c r="AF36" s="67" t="n"/>
      <c r="AG36" s="67" t="n"/>
      <c r="AH36" s="68" t="n"/>
      <c r="AI36" s="70" t="inlineStr">
        <is>
          <t>サブシステム</t>
        </is>
      </c>
      <c r="AJ36" s="68" t="n"/>
      <c r="AK36" s="70" t="inlineStr">
        <is>
          <t>○</t>
        </is>
      </c>
      <c r="AL36" s="68" t="n"/>
      <c r="AM36" s="70" t="inlineStr">
        <is>
          <t>CC4</t>
        </is>
      </c>
      <c r="AN36" s="67" t="n"/>
      <c r="AO36" s="67" t="n"/>
      <c r="AP36" s="68" t="n"/>
    </row>
    <row r="37">
      <c r="B37" s="69" t="n"/>
      <c r="C37" s="65" t="n"/>
      <c r="D37" s="70" t="inlineStr">
        <is>
          <t>共通コンポーネント設計書_(共通コンポーネントID)_(共通コンポーネント名)</t>
        </is>
      </c>
      <c r="E37" s="67" t="n"/>
      <c r="F37" s="67" t="n"/>
      <c r="G37" s="67" t="n"/>
      <c r="H37" s="67" t="n"/>
      <c r="I37" s="67" t="n"/>
      <c r="J37" s="67" t="n"/>
      <c r="K37" s="67" t="n"/>
      <c r="L37" s="67" t="n"/>
      <c r="M37" s="67" t="n"/>
      <c r="N37" s="67" t="n"/>
      <c r="O37" s="67" t="n"/>
      <c r="P37" s="67" t="n"/>
      <c r="Q37" s="67" t="n"/>
      <c r="R37" s="67" t="n"/>
      <c r="S37" s="67" t="n"/>
      <c r="T37" s="67" t="n"/>
      <c r="U37" s="68" t="n"/>
      <c r="V37" s="70" t="inlineStr">
        <is>
          <t>Excel</t>
        </is>
      </c>
      <c r="W37" s="68" t="n"/>
      <c r="X37" s="70" t="inlineStr">
        <is>
          <t>共通コンポーネントのインタフェース仕様、処理仕様の定義書【本システム: CC0001 事前承認要否判定／CC0002 精算額計算／CC0003 経理連携データ作成／CC0004 申請ID採番】</t>
        </is>
      </c>
      <c r="Y37" s="67" t="n"/>
      <c r="Z37" s="67" t="n"/>
      <c r="AA37" s="67" t="n"/>
      <c r="AB37" s="67" t="n"/>
      <c r="AC37" s="67" t="n"/>
      <c r="AD37" s="67" t="n"/>
      <c r="AE37" s="67" t="n"/>
      <c r="AF37" s="67" t="n"/>
      <c r="AG37" s="67" t="n"/>
      <c r="AH37" s="68" t="n"/>
      <c r="AI37" s="70" t="inlineStr">
        <is>
          <t>コンポーネント</t>
        </is>
      </c>
      <c r="AJ37" s="68" t="n"/>
      <c r="AK37" s="70" t="inlineStr">
        <is>
          <t>○</t>
        </is>
      </c>
      <c r="AL37" s="68" t="n"/>
      <c r="AM37" s="70" t="inlineStr">
        <is>
          <t>CC4</t>
        </is>
      </c>
      <c r="AN37" s="67" t="n"/>
      <c r="AO37" s="67" t="n"/>
      <c r="AP37" s="68" t="n"/>
    </row>
    <row r="38">
      <c r="B38" s="69" t="n"/>
      <c r="C38" s="59" t="inlineStr">
        <is>
          <t>インタフェース設計</t>
        </is>
      </c>
      <c r="D38" s="60" t="n"/>
      <c r="E38" s="60" t="n"/>
      <c r="F38" s="60" t="n"/>
      <c r="G38" s="60" t="n"/>
      <c r="H38" s="60" t="n"/>
      <c r="I38" s="60" t="n"/>
      <c r="J38" s="60" t="n"/>
      <c r="K38" s="60" t="n"/>
      <c r="L38" s="60" t="n"/>
      <c r="M38" s="60" t="n"/>
      <c r="N38" s="60" t="n"/>
      <c r="O38" s="60" t="n"/>
      <c r="P38" s="60" t="n"/>
      <c r="Q38" s="60" t="n"/>
      <c r="R38" s="60" t="n"/>
      <c r="S38" s="60" t="n"/>
      <c r="T38" s="60" t="n"/>
      <c r="U38" s="61" t="n"/>
      <c r="V38" s="62" t="n"/>
      <c r="W38" s="63" t="n"/>
      <c r="X38" s="62" t="n"/>
      <c r="Y38" s="64" t="n"/>
      <c r="Z38" s="64" t="n"/>
      <c r="AA38" s="64" t="n"/>
      <c r="AB38" s="64" t="n"/>
      <c r="AC38" s="64" t="n"/>
      <c r="AD38" s="64" t="n"/>
      <c r="AE38" s="64" t="n"/>
      <c r="AF38" s="64" t="n"/>
      <c r="AG38" s="64" t="n"/>
      <c r="AH38" s="63" t="n"/>
      <c r="AI38" s="62" t="n"/>
      <c r="AJ38" s="63" t="n"/>
      <c r="AK38" s="62" t="n"/>
      <c r="AL38" s="63" t="n"/>
      <c r="AM38" s="62" t="n"/>
      <c r="AN38" s="64" t="n"/>
      <c r="AO38" s="64" t="n"/>
      <c r="AP38" s="63" t="n"/>
    </row>
    <row r="39">
      <c r="B39" s="69" t="n"/>
      <c r="C39" s="69" t="n"/>
      <c r="D39" s="70" t="inlineStr">
        <is>
          <t>WebサービスAPI一覧_(サブシステムID)_(サブシステム名)</t>
        </is>
      </c>
      <c r="E39" s="67" t="n"/>
      <c r="F39" s="67" t="n"/>
      <c r="G39" s="67" t="n"/>
      <c r="H39" s="67" t="n"/>
      <c r="I39" s="67" t="n"/>
      <c r="J39" s="67" t="n"/>
      <c r="K39" s="67" t="n"/>
      <c r="L39" s="67" t="n"/>
      <c r="M39" s="67" t="n"/>
      <c r="N39" s="67" t="n"/>
      <c r="O39" s="67" t="n"/>
      <c r="P39" s="67" t="n"/>
      <c r="Q39" s="67" t="n"/>
      <c r="R39" s="67" t="n"/>
      <c r="S39" s="67" t="n"/>
      <c r="T39" s="67" t="n"/>
      <c r="U39" s="68" t="n"/>
      <c r="V39" s="70" t="inlineStr">
        <is>
          <t>Excel</t>
        </is>
      </c>
      <c r="W39" s="68" t="n"/>
      <c r="X39" s="70" t="inlineStr">
        <is>
          <t>システム化で作成するWebサービスAPIの一覧</t>
        </is>
      </c>
      <c r="Y39" s="67" t="n"/>
      <c r="Z39" s="67" t="n"/>
      <c r="AA39" s="67" t="n"/>
      <c r="AB39" s="67" t="n"/>
      <c r="AC39" s="67" t="n"/>
      <c r="AD39" s="67" t="n"/>
      <c r="AE39" s="67" t="n"/>
      <c r="AF39" s="67" t="n"/>
      <c r="AG39" s="67" t="n"/>
      <c r="AH39" s="68" t="n"/>
      <c r="AI39" s="70" t="inlineStr">
        <is>
          <t>サブシステム</t>
        </is>
      </c>
      <c r="AJ39" s="68" t="n"/>
      <c r="AK39" s="70" t="inlineStr">
        <is>
          <t>－</t>
        </is>
      </c>
      <c r="AL39" s="68" t="n"/>
      <c r="AM39" s="70" t="inlineStr">
        <is>
          <t>CC4</t>
        </is>
      </c>
      <c r="AN39" s="67" t="n"/>
      <c r="AO39" s="67" t="n"/>
      <c r="AP39" s="68" t="n"/>
    </row>
    <row r="40">
      <c r="B40" s="69" t="n"/>
      <c r="C40" s="69" t="n"/>
      <c r="D40" s="70" t="inlineStr">
        <is>
          <t>外部インタフェース一覧_(サブシステムID)_(サブシステム名)</t>
        </is>
      </c>
      <c r="E40" s="67" t="n"/>
      <c r="F40" s="67" t="n"/>
      <c r="G40" s="67" t="n"/>
      <c r="H40" s="67" t="n"/>
      <c r="I40" s="67" t="n"/>
      <c r="J40" s="67" t="n"/>
      <c r="K40" s="67" t="n"/>
      <c r="L40" s="67" t="n"/>
      <c r="M40" s="67" t="n"/>
      <c r="N40" s="67" t="n"/>
      <c r="O40" s="67" t="n"/>
      <c r="P40" s="67" t="n"/>
      <c r="Q40" s="67" t="n"/>
      <c r="R40" s="67" t="n"/>
      <c r="S40" s="67" t="n"/>
      <c r="T40" s="67" t="n"/>
      <c r="U40" s="68" t="n"/>
      <c r="V40" s="70" t="inlineStr">
        <is>
          <t>Excel</t>
        </is>
      </c>
      <c r="W40" s="68" t="n"/>
      <c r="X40" s="70" t="inlineStr">
        <is>
          <t>システム外部とのインタフェースの一覧【本システム: BT 出張申請】</t>
        </is>
      </c>
      <c r="Y40" s="67" t="n"/>
      <c r="Z40" s="67" t="n"/>
      <c r="AA40" s="67" t="n"/>
      <c r="AB40" s="67" t="n"/>
      <c r="AC40" s="67" t="n"/>
      <c r="AD40" s="67" t="n"/>
      <c r="AE40" s="67" t="n"/>
      <c r="AF40" s="67" t="n"/>
      <c r="AG40" s="67" t="n"/>
      <c r="AH40" s="68" t="n"/>
      <c r="AI40" s="70" t="inlineStr">
        <is>
          <t>サブシステム</t>
        </is>
      </c>
      <c r="AJ40" s="68" t="n"/>
      <c r="AK40" s="70" t="inlineStr">
        <is>
          <t>○</t>
        </is>
      </c>
      <c r="AL40" s="68" t="n"/>
      <c r="AM40" s="70" t="inlineStr">
        <is>
          <t>CC4</t>
        </is>
      </c>
      <c r="AN40" s="67" t="n"/>
      <c r="AO40" s="67" t="n"/>
      <c r="AP40" s="68" t="n"/>
    </row>
    <row r="41">
      <c r="B41" s="69" t="n"/>
      <c r="C41" s="69" t="n"/>
      <c r="D41" s="70" t="inlineStr">
        <is>
          <t>外部インタフェース設計書_(HTTP共通)</t>
        </is>
      </c>
      <c r="E41" s="67" t="n"/>
      <c r="F41" s="67" t="n"/>
      <c r="G41" s="67" t="n"/>
      <c r="H41" s="67" t="n"/>
      <c r="I41" s="67" t="n"/>
      <c r="J41" s="67" t="n"/>
      <c r="K41" s="67" t="n"/>
      <c r="L41" s="67" t="n"/>
      <c r="M41" s="67" t="n"/>
      <c r="N41" s="67" t="n"/>
      <c r="O41" s="67" t="n"/>
      <c r="P41" s="67" t="n"/>
      <c r="Q41" s="67" t="n"/>
      <c r="R41" s="67" t="n"/>
      <c r="S41" s="67" t="n"/>
      <c r="T41" s="67" t="n"/>
      <c r="U41" s="68" t="n"/>
      <c r="V41" s="70" t="inlineStr">
        <is>
          <t>Excel</t>
        </is>
      </c>
      <c r="W41" s="68" t="n"/>
      <c r="X41" s="70" t="inlineStr">
        <is>
          <t>システム外部とのインタフェースにおける共通</t>
        </is>
      </c>
      <c r="Y41" s="67" t="n"/>
      <c r="Z41" s="67" t="n"/>
      <c r="AA41" s="67" t="n"/>
      <c r="AB41" s="67" t="n"/>
      <c r="AC41" s="67" t="n"/>
      <c r="AD41" s="67" t="n"/>
      <c r="AE41" s="67" t="n"/>
      <c r="AF41" s="67" t="n"/>
      <c r="AG41" s="67" t="n"/>
      <c r="AH41" s="68" t="n"/>
      <c r="AI41" s="70" t="inlineStr">
        <is>
          <t>ファイル</t>
        </is>
      </c>
      <c r="AJ41" s="68" t="n"/>
      <c r="AK41" s="70" t="inlineStr">
        <is>
          <t>－</t>
        </is>
      </c>
      <c r="AL41" s="68" t="n"/>
      <c r="AM41" s="70" t="inlineStr">
        <is>
          <t>CC4</t>
        </is>
      </c>
      <c r="AN41" s="67" t="n"/>
      <c r="AO41" s="67" t="n"/>
      <c r="AP41" s="68" t="n"/>
    </row>
    <row r="42">
      <c r="B42" s="69" t="n"/>
      <c r="C42" s="69" t="n"/>
      <c r="D42" s="70" t="inlineStr">
        <is>
          <t>外部インタフェース設計書_(ファイルID)_(ファイル名)_(I／Fファイル)</t>
        </is>
      </c>
      <c r="E42" s="67" t="n"/>
      <c r="F42" s="67" t="n"/>
      <c r="G42" s="67" t="n"/>
      <c r="H42" s="67" t="n"/>
      <c r="I42" s="67" t="n"/>
      <c r="J42" s="67" t="n"/>
      <c r="K42" s="67" t="n"/>
      <c r="L42" s="67" t="n"/>
      <c r="M42" s="67" t="n"/>
      <c r="N42" s="67" t="n"/>
      <c r="O42" s="67" t="n"/>
      <c r="P42" s="67" t="n"/>
      <c r="Q42" s="67" t="n"/>
      <c r="R42" s="67" t="n"/>
      <c r="S42" s="67" t="n"/>
      <c r="T42" s="67" t="n"/>
      <c r="U42" s="68" t="n"/>
      <c r="V42" s="70" t="inlineStr">
        <is>
          <t>Excel</t>
        </is>
      </c>
      <c r="W42" s="68" t="n"/>
      <c r="X42" s="70" t="inlineStr">
        <is>
          <t>I／Fファイル形式の外部インタフェースの入力と出力を定義した設計書【本システム: IBT01 経理システム連携ファイル】</t>
        </is>
      </c>
      <c r="Y42" s="67" t="n"/>
      <c r="Z42" s="67" t="n"/>
      <c r="AA42" s="67" t="n"/>
      <c r="AB42" s="67" t="n"/>
      <c r="AC42" s="67" t="n"/>
      <c r="AD42" s="67" t="n"/>
      <c r="AE42" s="67" t="n"/>
      <c r="AF42" s="67" t="n"/>
      <c r="AG42" s="67" t="n"/>
      <c r="AH42" s="68" t="n"/>
      <c r="AI42" s="70" t="inlineStr">
        <is>
          <t>電文</t>
        </is>
      </c>
      <c r="AJ42" s="68" t="n"/>
      <c r="AK42" s="70" t="inlineStr">
        <is>
          <t>○</t>
        </is>
      </c>
      <c r="AL42" s="68" t="n"/>
      <c r="AM42" s="70" t="inlineStr">
        <is>
          <t>CC4</t>
        </is>
      </c>
      <c r="AN42" s="67" t="n"/>
      <c r="AO42" s="67" t="n"/>
      <c r="AP42" s="68" t="n"/>
    </row>
    <row r="43">
      <c r="B43" s="69" t="n"/>
      <c r="C43" s="69" t="n"/>
      <c r="D43" s="70" t="inlineStr">
        <is>
          <t>外部インタフェース設計書_(電文ID)_(電文名)_(JSON)</t>
        </is>
      </c>
      <c r="E43" s="67" t="n"/>
      <c r="F43" s="67" t="n"/>
      <c r="G43" s="67" t="n"/>
      <c r="H43" s="67" t="n"/>
      <c r="I43" s="67" t="n"/>
      <c r="J43" s="67" t="n"/>
      <c r="K43" s="67" t="n"/>
      <c r="L43" s="67" t="n"/>
      <c r="M43" s="67" t="n"/>
      <c r="N43" s="67" t="n"/>
      <c r="O43" s="67" t="n"/>
      <c r="P43" s="67" t="n"/>
      <c r="Q43" s="67" t="n"/>
      <c r="R43" s="67" t="n"/>
      <c r="S43" s="67" t="n"/>
      <c r="T43" s="67" t="n"/>
      <c r="U43" s="68" t="n"/>
      <c r="V43" s="70" t="inlineStr">
        <is>
          <t>Excel</t>
        </is>
      </c>
      <c r="W43" s="68" t="n"/>
      <c r="X43" s="70" t="inlineStr">
        <is>
          <t>JSON形式の外部インタフェースの入力と出力を定義した設計書</t>
        </is>
      </c>
      <c r="Y43" s="67" t="n"/>
      <c r="Z43" s="67" t="n"/>
      <c r="AA43" s="67" t="n"/>
      <c r="AB43" s="67" t="n"/>
      <c r="AC43" s="67" t="n"/>
      <c r="AD43" s="67" t="n"/>
      <c r="AE43" s="67" t="n"/>
      <c r="AF43" s="67" t="n"/>
      <c r="AG43" s="67" t="n"/>
      <c r="AH43" s="68" t="n"/>
      <c r="AI43" s="70" t="inlineStr">
        <is>
          <t>電文</t>
        </is>
      </c>
      <c r="AJ43" s="68" t="n"/>
      <c r="AK43" s="70" t="inlineStr">
        <is>
          <t>－</t>
        </is>
      </c>
      <c r="AL43" s="68" t="n"/>
      <c r="AM43" s="70" t="inlineStr">
        <is>
          <t>CC4</t>
        </is>
      </c>
      <c r="AN43" s="67" t="n"/>
      <c r="AO43" s="67" t="n"/>
      <c r="AP43" s="68" t="n"/>
    </row>
    <row r="44">
      <c r="B44" s="69" t="n"/>
      <c r="C44" s="69" t="n"/>
      <c r="D44" s="70" t="inlineStr">
        <is>
          <t>外部インタフェース設計書_(電文ID)_(電文名)_(XML)</t>
        </is>
      </c>
      <c r="E44" s="67" t="n"/>
      <c r="F44" s="67" t="n"/>
      <c r="G44" s="67" t="n"/>
      <c r="H44" s="67" t="n"/>
      <c r="I44" s="67" t="n"/>
      <c r="J44" s="67" t="n"/>
      <c r="K44" s="67" t="n"/>
      <c r="L44" s="67" t="n"/>
      <c r="M44" s="67" t="n"/>
      <c r="N44" s="67" t="n"/>
      <c r="O44" s="67" t="n"/>
      <c r="P44" s="67" t="n"/>
      <c r="Q44" s="67" t="n"/>
      <c r="R44" s="67" t="n"/>
      <c r="S44" s="67" t="n"/>
      <c r="T44" s="67" t="n"/>
      <c r="U44" s="68" t="n"/>
      <c r="V44" s="70" t="inlineStr">
        <is>
          <t>Excel</t>
        </is>
      </c>
      <c r="W44" s="68" t="n"/>
      <c r="X44" s="70" t="inlineStr">
        <is>
          <t>XML形式の外部インタフェースの入力と出力を定義した設計書</t>
        </is>
      </c>
      <c r="Y44" s="67" t="n"/>
      <c r="Z44" s="67" t="n"/>
      <c r="AA44" s="67" t="n"/>
      <c r="AB44" s="67" t="n"/>
      <c r="AC44" s="67" t="n"/>
      <c r="AD44" s="67" t="n"/>
      <c r="AE44" s="67" t="n"/>
      <c r="AF44" s="67" t="n"/>
      <c r="AG44" s="67" t="n"/>
      <c r="AH44" s="68" t="n"/>
      <c r="AI44" s="70" t="inlineStr">
        <is>
          <t>電文</t>
        </is>
      </c>
      <c r="AJ44" s="68" t="n"/>
      <c r="AK44" s="70" t="inlineStr">
        <is>
          <t>－</t>
        </is>
      </c>
      <c r="AL44" s="68" t="n"/>
      <c r="AM44" s="70" t="inlineStr">
        <is>
          <t>CC4</t>
        </is>
      </c>
      <c r="AN44" s="67" t="n"/>
      <c r="AO44" s="67" t="n"/>
      <c r="AP44" s="68" t="n"/>
    </row>
    <row r="45">
      <c r="B45" s="69" t="n"/>
      <c r="C45" s="65" t="n"/>
      <c r="D45" s="70" t="inlineStr">
        <is>
          <t>外部インタフェース設計書_(電文ID)_(電文名)_(その他電文)</t>
        </is>
      </c>
      <c r="E45" s="67" t="n"/>
      <c r="F45" s="67" t="n"/>
      <c r="G45" s="67" t="n"/>
      <c r="H45" s="67" t="n"/>
      <c r="I45" s="67" t="n"/>
      <c r="J45" s="67" t="n"/>
      <c r="K45" s="67" t="n"/>
      <c r="L45" s="67" t="n"/>
      <c r="M45" s="67" t="n"/>
      <c r="N45" s="67" t="n"/>
      <c r="O45" s="67" t="n"/>
      <c r="P45" s="67" t="n"/>
      <c r="Q45" s="67" t="n"/>
      <c r="R45" s="67" t="n"/>
      <c r="S45" s="67" t="n"/>
      <c r="T45" s="67" t="n"/>
      <c r="U45" s="68" t="n"/>
      <c r="V45" s="70" t="inlineStr">
        <is>
          <t>Excel</t>
        </is>
      </c>
      <c r="W45" s="68" t="n"/>
      <c r="X45" s="70" t="inlineStr">
        <is>
          <t>その他の形式の外部インタフェースの入力と出力を定義した設計書</t>
        </is>
      </c>
      <c r="Y45" s="67" t="n"/>
      <c r="Z45" s="67" t="n"/>
      <c r="AA45" s="67" t="n"/>
      <c r="AB45" s="67" t="n"/>
      <c r="AC45" s="67" t="n"/>
      <c r="AD45" s="67" t="n"/>
      <c r="AE45" s="67" t="n"/>
      <c r="AF45" s="67" t="n"/>
      <c r="AG45" s="67" t="n"/>
      <c r="AH45" s="68" t="n"/>
      <c r="AI45" s="70" t="inlineStr">
        <is>
          <t>電文</t>
        </is>
      </c>
      <c r="AJ45" s="68" t="n"/>
      <c r="AK45" s="70" t="inlineStr">
        <is>
          <t>－</t>
        </is>
      </c>
      <c r="AL45" s="68" t="n"/>
      <c r="AM45" s="70" t="inlineStr">
        <is>
          <t>CC4</t>
        </is>
      </c>
      <c r="AN45" s="67" t="n"/>
      <c r="AO45" s="67" t="n"/>
      <c r="AP45" s="68" t="n"/>
    </row>
    <row r="46">
      <c r="B46" s="69" t="n"/>
      <c r="C46" s="59" t="inlineStr">
        <is>
          <t>画面設計</t>
        </is>
      </c>
      <c r="D46" s="60" t="n"/>
      <c r="E46" s="60" t="n"/>
      <c r="F46" s="60" t="n"/>
      <c r="G46" s="60" t="n"/>
      <c r="H46" s="60" t="n"/>
      <c r="I46" s="60" t="n"/>
      <c r="J46" s="60" t="n"/>
      <c r="K46" s="60" t="n"/>
      <c r="L46" s="60" t="n"/>
      <c r="M46" s="60" t="n"/>
      <c r="N46" s="60" t="n"/>
      <c r="O46" s="60" t="n"/>
      <c r="P46" s="60" t="n"/>
      <c r="Q46" s="60" t="n"/>
      <c r="R46" s="60" t="n"/>
      <c r="S46" s="60" t="n"/>
      <c r="T46" s="60" t="n"/>
      <c r="U46" s="61" t="n"/>
      <c r="V46" s="62" t="n"/>
      <c r="W46" s="63" t="n"/>
      <c r="X46" s="62" t="n"/>
      <c r="Y46" s="64" t="n"/>
      <c r="Z46" s="64" t="n"/>
      <c r="AA46" s="64" t="n"/>
      <c r="AB46" s="64" t="n"/>
      <c r="AC46" s="64" t="n"/>
      <c r="AD46" s="64" t="n"/>
      <c r="AE46" s="64" t="n"/>
      <c r="AF46" s="64" t="n"/>
      <c r="AG46" s="64" t="n"/>
      <c r="AH46" s="63" t="n"/>
      <c r="AI46" s="62" t="n"/>
      <c r="AJ46" s="63" t="n"/>
      <c r="AK46" s="62" t="n"/>
      <c r="AL46" s="63" t="n"/>
      <c r="AM46" s="62" t="n"/>
      <c r="AN46" s="64" t="n"/>
      <c r="AO46" s="64" t="n"/>
      <c r="AP46" s="63" t="n"/>
    </row>
    <row r="47">
      <c r="B47" s="69" t="n"/>
      <c r="C47" s="69" t="n"/>
      <c r="D47" s="70" t="inlineStr">
        <is>
          <t>画面一覧_(サブシステムID)_(サブシステム名)</t>
        </is>
      </c>
      <c r="E47" s="67" t="n"/>
      <c r="F47" s="67" t="n"/>
      <c r="G47" s="67" t="n"/>
      <c r="H47" s="67" t="n"/>
      <c r="I47" s="67" t="n"/>
      <c r="J47" s="67" t="n"/>
      <c r="K47" s="67" t="n"/>
      <c r="L47" s="67" t="n"/>
      <c r="M47" s="67" t="n"/>
      <c r="N47" s="67" t="n"/>
      <c r="O47" s="67" t="n"/>
      <c r="P47" s="67" t="n"/>
      <c r="Q47" s="67" t="n"/>
      <c r="R47" s="67" t="n"/>
      <c r="S47" s="67" t="n"/>
      <c r="T47" s="67" t="n"/>
      <c r="U47" s="68" t="n"/>
      <c r="V47" s="70" t="inlineStr">
        <is>
          <t>Excel</t>
        </is>
      </c>
      <c r="W47" s="68" t="n"/>
      <c r="X47" s="70" t="inlineStr">
        <is>
          <t>画面ID、画面名称の定義書【本システム: BT 出張申請】</t>
        </is>
      </c>
      <c r="Y47" s="67" t="n"/>
      <c r="Z47" s="67" t="n"/>
      <c r="AA47" s="67" t="n"/>
      <c r="AB47" s="67" t="n"/>
      <c r="AC47" s="67" t="n"/>
      <c r="AD47" s="67" t="n"/>
      <c r="AE47" s="67" t="n"/>
      <c r="AF47" s="67" t="n"/>
      <c r="AG47" s="67" t="n"/>
      <c r="AH47" s="68" t="n"/>
      <c r="AI47" s="70" t="inlineStr">
        <is>
          <t>サブシステム</t>
        </is>
      </c>
      <c r="AJ47" s="68" t="n"/>
      <c r="AK47" s="70" t="inlineStr">
        <is>
          <t>○</t>
        </is>
      </c>
      <c r="AL47" s="68" t="n"/>
      <c r="AM47" s="70" t="inlineStr">
        <is>
          <t>CC4</t>
        </is>
      </c>
      <c r="AN47" s="67" t="n"/>
      <c r="AO47" s="67" t="n"/>
      <c r="AP47" s="68" t="n"/>
    </row>
    <row r="48">
      <c r="B48" s="69" t="n"/>
      <c r="C48" s="65" t="n"/>
      <c r="D48" s="70" t="inlineStr">
        <is>
          <t>画面遷移図_(サブシステムID)_(サブシステム名)</t>
        </is>
      </c>
      <c r="E48" s="67" t="n"/>
      <c r="F48" s="67" t="n"/>
      <c r="G48" s="67" t="n"/>
      <c r="H48" s="67" t="n"/>
      <c r="I48" s="67" t="n"/>
      <c r="J48" s="67" t="n"/>
      <c r="K48" s="67" t="n"/>
      <c r="L48" s="67" t="n"/>
      <c r="M48" s="67" t="n"/>
      <c r="N48" s="67" t="n"/>
      <c r="O48" s="67" t="n"/>
      <c r="P48" s="67" t="n"/>
      <c r="Q48" s="67" t="n"/>
      <c r="R48" s="67" t="n"/>
      <c r="S48" s="67" t="n"/>
      <c r="T48" s="67" t="n"/>
      <c r="U48" s="68" t="n"/>
      <c r="V48" s="70" t="inlineStr">
        <is>
          <t>Excel</t>
        </is>
      </c>
      <c r="W48" s="68" t="n"/>
      <c r="X48" s="70" t="inlineStr">
        <is>
          <t>機能ごとの画面遷移を定義書【本システム: BT 出張申請】</t>
        </is>
      </c>
      <c r="Y48" s="67" t="n"/>
      <c r="Z48" s="67" t="n"/>
      <c r="AA48" s="67" t="n"/>
      <c r="AB48" s="67" t="n"/>
      <c r="AC48" s="67" t="n"/>
      <c r="AD48" s="67" t="n"/>
      <c r="AE48" s="67" t="n"/>
      <c r="AF48" s="67" t="n"/>
      <c r="AG48" s="67" t="n"/>
      <c r="AH48" s="68" t="n"/>
      <c r="AI48" s="70" t="inlineStr">
        <is>
          <t>サブシステム</t>
        </is>
      </c>
      <c r="AJ48" s="68" t="n"/>
      <c r="AK48" s="70" t="inlineStr">
        <is>
          <t>○</t>
        </is>
      </c>
      <c r="AL48" s="68" t="n"/>
      <c r="AM48" s="70" t="inlineStr">
        <is>
          <t>CC4</t>
        </is>
      </c>
      <c r="AN48" s="67" t="n"/>
      <c r="AO48" s="67" t="n"/>
      <c r="AP48" s="68" t="n"/>
    </row>
    <row r="49">
      <c r="B49" s="69" t="n"/>
      <c r="C49" s="59" t="inlineStr">
        <is>
          <t>帳票設計</t>
        </is>
      </c>
      <c r="D49" s="60" t="n"/>
      <c r="E49" s="60" t="n"/>
      <c r="F49" s="60" t="n"/>
      <c r="G49" s="60" t="n"/>
      <c r="H49" s="60" t="n"/>
      <c r="I49" s="60" t="n"/>
      <c r="J49" s="60" t="n"/>
      <c r="K49" s="60" t="n"/>
      <c r="L49" s="60" t="n"/>
      <c r="M49" s="60" t="n"/>
      <c r="N49" s="60" t="n"/>
      <c r="O49" s="60" t="n"/>
      <c r="P49" s="60" t="n"/>
      <c r="Q49" s="60" t="n"/>
      <c r="R49" s="60" t="n"/>
      <c r="S49" s="60" t="n"/>
      <c r="T49" s="60" t="n"/>
      <c r="U49" s="61" t="n"/>
      <c r="V49" s="62" t="n"/>
      <c r="W49" s="63" t="n"/>
      <c r="X49" s="62" t="n"/>
      <c r="Y49" s="64" t="n"/>
      <c r="Z49" s="64" t="n"/>
      <c r="AA49" s="64" t="n"/>
      <c r="AB49" s="64" t="n"/>
      <c r="AC49" s="64" t="n"/>
      <c r="AD49" s="64" t="n"/>
      <c r="AE49" s="64" t="n"/>
      <c r="AF49" s="64" t="n"/>
      <c r="AG49" s="64" t="n"/>
      <c r="AH49" s="63" t="n"/>
      <c r="AI49" s="62" t="n"/>
      <c r="AJ49" s="63" t="n"/>
      <c r="AK49" s="62" t="n"/>
      <c r="AL49" s="63" t="n"/>
      <c r="AM49" s="62" t="n"/>
      <c r="AN49" s="64" t="n"/>
      <c r="AO49" s="64" t="n"/>
      <c r="AP49" s="63" t="n"/>
    </row>
    <row r="50">
      <c r="B50" s="69" t="n"/>
      <c r="C50" s="69" t="n"/>
      <c r="D50" s="70" t="inlineStr">
        <is>
          <t>帳票一覧_(サブシステムID)_(サブシステム名)</t>
        </is>
      </c>
      <c r="E50" s="67" t="n"/>
      <c r="F50" s="67" t="n"/>
      <c r="G50" s="67" t="n"/>
      <c r="H50" s="67" t="n"/>
      <c r="I50" s="67" t="n"/>
      <c r="J50" s="67" t="n"/>
      <c r="K50" s="67" t="n"/>
      <c r="L50" s="67" t="n"/>
      <c r="M50" s="67" t="n"/>
      <c r="N50" s="67" t="n"/>
      <c r="O50" s="67" t="n"/>
      <c r="P50" s="67" t="n"/>
      <c r="Q50" s="67" t="n"/>
      <c r="R50" s="67" t="n"/>
      <c r="S50" s="67" t="n"/>
      <c r="T50" s="67" t="n"/>
      <c r="U50" s="68" t="n"/>
      <c r="V50" s="70" t="inlineStr">
        <is>
          <t>Excel</t>
        </is>
      </c>
      <c r="W50" s="68" t="n"/>
      <c r="X50" s="70" t="inlineStr">
        <is>
          <t>システム化で作成する帳票の一覧【本システム: BT 出張申請】</t>
        </is>
      </c>
      <c r="Y50" s="67" t="n"/>
      <c r="Z50" s="67" t="n"/>
      <c r="AA50" s="67" t="n"/>
      <c r="AB50" s="67" t="n"/>
      <c r="AC50" s="67" t="n"/>
      <c r="AD50" s="67" t="n"/>
      <c r="AE50" s="67" t="n"/>
      <c r="AF50" s="67" t="n"/>
      <c r="AG50" s="67" t="n"/>
      <c r="AH50" s="68" t="n"/>
      <c r="AI50" s="70" t="inlineStr">
        <is>
          <t>サブシステム</t>
        </is>
      </c>
      <c r="AJ50" s="68" t="n"/>
      <c r="AK50" s="70" t="inlineStr">
        <is>
          <t>○</t>
        </is>
      </c>
      <c r="AL50" s="68" t="n"/>
      <c r="AM50" s="70" t="inlineStr">
        <is>
          <t>CC4</t>
        </is>
      </c>
      <c r="AN50" s="67" t="n"/>
      <c r="AO50" s="67" t="n"/>
      <c r="AP50" s="68" t="n"/>
    </row>
    <row r="51">
      <c r="B51" s="69" t="n"/>
      <c r="C51" s="65" t="n"/>
      <c r="D51" s="70" t="inlineStr">
        <is>
          <t>帳票設計書_(帳票ID)_(帳票名)</t>
        </is>
      </c>
      <c r="E51" s="67" t="n"/>
      <c r="F51" s="67" t="n"/>
      <c r="G51" s="67" t="n"/>
      <c r="H51" s="67" t="n"/>
      <c r="I51" s="67" t="n"/>
      <c r="J51" s="67" t="n"/>
      <c r="K51" s="67" t="n"/>
      <c r="L51" s="67" t="n"/>
      <c r="M51" s="67" t="n"/>
      <c r="N51" s="67" t="n"/>
      <c r="O51" s="67" t="n"/>
      <c r="P51" s="67" t="n"/>
      <c r="Q51" s="67" t="n"/>
      <c r="R51" s="67" t="n"/>
      <c r="S51" s="67" t="n"/>
      <c r="T51" s="67" t="n"/>
      <c r="U51" s="68" t="n"/>
      <c r="V51" s="70" t="inlineStr">
        <is>
          <t>Excel</t>
        </is>
      </c>
      <c r="W51" s="68" t="n"/>
      <c r="X51" s="70" t="inlineStr">
        <is>
          <t>帳票の概要、処理フロー、レイアウト、項目定義等の設計書【本システム: RBT01 出張精算書】</t>
        </is>
      </c>
      <c r="Y51" s="67" t="n"/>
      <c r="Z51" s="67" t="n"/>
      <c r="AA51" s="67" t="n"/>
      <c r="AB51" s="67" t="n"/>
      <c r="AC51" s="67" t="n"/>
      <c r="AD51" s="67" t="n"/>
      <c r="AE51" s="67" t="n"/>
      <c r="AF51" s="67" t="n"/>
      <c r="AG51" s="67" t="n"/>
      <c r="AH51" s="68" t="n"/>
      <c r="AI51" s="70" t="inlineStr">
        <is>
          <t>帳票</t>
        </is>
      </c>
      <c r="AJ51" s="68" t="n"/>
      <c r="AK51" s="70" t="inlineStr">
        <is>
          <t>○</t>
        </is>
      </c>
      <c r="AL51" s="68" t="n"/>
      <c r="AM51" s="70" t="inlineStr">
        <is>
          <t>CC4</t>
        </is>
      </c>
      <c r="AN51" s="67" t="n"/>
      <c r="AO51" s="67" t="n"/>
      <c r="AP51" s="68" t="n"/>
    </row>
    <row r="52">
      <c r="B52" s="69" t="n"/>
      <c r="C52" s="59" t="inlineStr">
        <is>
          <t>メール設計</t>
        </is>
      </c>
      <c r="D52" s="60" t="n"/>
      <c r="E52" s="60" t="n"/>
      <c r="F52" s="60" t="n"/>
      <c r="G52" s="60" t="n"/>
      <c r="H52" s="60" t="n"/>
      <c r="I52" s="60" t="n"/>
      <c r="J52" s="60" t="n"/>
      <c r="K52" s="60" t="n"/>
      <c r="L52" s="60" t="n"/>
      <c r="M52" s="60" t="n"/>
      <c r="N52" s="60" t="n"/>
      <c r="O52" s="60" t="n"/>
      <c r="P52" s="60" t="n"/>
      <c r="Q52" s="60" t="n"/>
      <c r="R52" s="60" t="n"/>
      <c r="S52" s="60" t="n"/>
      <c r="T52" s="60" t="n"/>
      <c r="U52" s="61" t="n"/>
      <c r="V52" s="62" t="n"/>
      <c r="W52" s="63" t="n"/>
      <c r="X52" s="62" t="n"/>
      <c r="Y52" s="64" t="n"/>
      <c r="Z52" s="64" t="n"/>
      <c r="AA52" s="64" t="n"/>
      <c r="AB52" s="64" t="n"/>
      <c r="AC52" s="64" t="n"/>
      <c r="AD52" s="64" t="n"/>
      <c r="AE52" s="64" t="n"/>
      <c r="AF52" s="64" t="n"/>
      <c r="AG52" s="64" t="n"/>
      <c r="AH52" s="63" t="n"/>
      <c r="AI52" s="62" t="n"/>
      <c r="AJ52" s="63" t="n"/>
      <c r="AK52" s="62" t="n"/>
      <c r="AL52" s="63" t="n"/>
      <c r="AM52" s="62" t="n"/>
      <c r="AN52" s="64" t="n"/>
      <c r="AO52" s="64" t="n"/>
      <c r="AP52" s="63" t="n"/>
    </row>
    <row r="53">
      <c r="B53" s="69" t="n"/>
      <c r="C53" s="69" t="n"/>
      <c r="D53" s="70" t="inlineStr">
        <is>
          <t>メール一覧_(サブシステムID)_(サブシステム名)</t>
        </is>
      </c>
      <c r="E53" s="67" t="n"/>
      <c r="F53" s="67" t="n"/>
      <c r="G53" s="67" t="n"/>
      <c r="H53" s="67" t="n"/>
      <c r="I53" s="67" t="n"/>
      <c r="J53" s="67" t="n"/>
      <c r="K53" s="67" t="n"/>
      <c r="L53" s="67" t="n"/>
      <c r="M53" s="67" t="n"/>
      <c r="N53" s="67" t="n"/>
      <c r="O53" s="67" t="n"/>
      <c r="P53" s="67" t="n"/>
      <c r="Q53" s="67" t="n"/>
      <c r="R53" s="67" t="n"/>
      <c r="S53" s="67" t="n"/>
      <c r="T53" s="67" t="n"/>
      <c r="U53" s="68" t="n"/>
      <c r="V53" s="70" t="inlineStr">
        <is>
          <t>Excel</t>
        </is>
      </c>
      <c r="W53" s="68" t="n"/>
      <c r="X53" s="70" t="inlineStr">
        <is>
          <t>システム化で作成するメールの一覧【本システム: BT 出張申請】</t>
        </is>
      </c>
      <c r="Y53" s="67" t="n"/>
      <c r="Z53" s="67" t="n"/>
      <c r="AA53" s="67" t="n"/>
      <c r="AB53" s="67" t="n"/>
      <c r="AC53" s="67" t="n"/>
      <c r="AD53" s="67" t="n"/>
      <c r="AE53" s="67" t="n"/>
      <c r="AF53" s="67" t="n"/>
      <c r="AG53" s="67" t="n"/>
      <c r="AH53" s="68" t="n"/>
      <c r="AI53" s="70" t="inlineStr">
        <is>
          <t>サブシステム</t>
        </is>
      </c>
      <c r="AJ53" s="68" t="n"/>
      <c r="AK53" s="70" t="inlineStr">
        <is>
          <t>○</t>
        </is>
      </c>
      <c r="AL53" s="68" t="n"/>
      <c r="AM53" s="70" t="inlineStr">
        <is>
          <t>CC4</t>
        </is>
      </c>
      <c r="AN53" s="67" t="n"/>
      <c r="AO53" s="67" t="n"/>
      <c r="AP53" s="68" t="n"/>
    </row>
    <row r="54">
      <c r="B54" s="69" t="n"/>
      <c r="C54" s="65" t="n"/>
      <c r="D54" s="70" t="inlineStr">
        <is>
          <t>メール設計書_(サブシステムID)_(サブシステム名)</t>
        </is>
      </c>
      <c r="E54" s="67" t="n"/>
      <c r="F54" s="67" t="n"/>
      <c r="G54" s="67" t="n"/>
      <c r="H54" s="67" t="n"/>
      <c r="I54" s="67" t="n"/>
      <c r="J54" s="67" t="n"/>
      <c r="K54" s="67" t="n"/>
      <c r="L54" s="67" t="n"/>
      <c r="M54" s="67" t="n"/>
      <c r="N54" s="67" t="n"/>
      <c r="O54" s="67" t="n"/>
      <c r="P54" s="67" t="n"/>
      <c r="Q54" s="67" t="n"/>
      <c r="R54" s="67" t="n"/>
      <c r="S54" s="67" t="n"/>
      <c r="T54" s="67" t="n"/>
      <c r="U54" s="68" t="n"/>
      <c r="V54" s="70" t="inlineStr">
        <is>
          <t>Excel</t>
        </is>
      </c>
      <c r="W54" s="68" t="n"/>
      <c r="X54" s="70" t="inlineStr">
        <is>
          <t>メールの件名、本文のレイアウトや送信先情情報の定義書【本システム: BT 出張申請（MBT01 事前承認依頼／MBT02 事前承認却下通知／MBT03 最終承認依頼）】</t>
        </is>
      </c>
      <c r="Y54" s="67" t="n"/>
      <c r="Z54" s="67" t="n"/>
      <c r="AA54" s="67" t="n"/>
      <c r="AB54" s="67" t="n"/>
      <c r="AC54" s="67" t="n"/>
      <c r="AD54" s="67" t="n"/>
      <c r="AE54" s="67" t="n"/>
      <c r="AF54" s="67" t="n"/>
      <c r="AG54" s="67" t="n"/>
      <c r="AH54" s="68" t="n"/>
      <c r="AI54" s="70" t="inlineStr">
        <is>
          <t>サブシステム</t>
        </is>
      </c>
      <c r="AJ54" s="68" t="n"/>
      <c r="AK54" s="70" t="inlineStr">
        <is>
          <t>○</t>
        </is>
      </c>
      <c r="AL54" s="68" t="n"/>
      <c r="AM54" s="70" t="inlineStr">
        <is>
          <t>CC4</t>
        </is>
      </c>
      <c r="AN54" s="67" t="n"/>
      <c r="AO54" s="67" t="n"/>
      <c r="AP54" s="68" t="n"/>
    </row>
    <row r="55">
      <c r="B55" s="69" t="n"/>
      <c r="C55" s="59" t="inlineStr">
        <is>
          <t>メッセージ設計</t>
        </is>
      </c>
      <c r="D55" s="60" t="n"/>
      <c r="E55" s="60" t="n"/>
      <c r="F55" s="60" t="n"/>
      <c r="G55" s="60" t="n"/>
      <c r="H55" s="60" t="n"/>
      <c r="I55" s="60" t="n"/>
      <c r="J55" s="60" t="n"/>
      <c r="K55" s="60" t="n"/>
      <c r="L55" s="60" t="n"/>
      <c r="M55" s="60" t="n"/>
      <c r="N55" s="60" t="n"/>
      <c r="O55" s="60" t="n"/>
      <c r="P55" s="60" t="n"/>
      <c r="Q55" s="60" t="n"/>
      <c r="R55" s="60" t="n"/>
      <c r="S55" s="60" t="n"/>
      <c r="T55" s="60" t="n"/>
      <c r="U55" s="61" t="n"/>
      <c r="V55" s="62" t="n"/>
      <c r="W55" s="63" t="n"/>
      <c r="X55" s="62" t="n"/>
      <c r="Y55" s="64" t="n"/>
      <c r="Z55" s="64" t="n"/>
      <c r="AA55" s="64" t="n"/>
      <c r="AB55" s="64" t="n"/>
      <c r="AC55" s="64" t="n"/>
      <c r="AD55" s="64" t="n"/>
      <c r="AE55" s="64" t="n"/>
      <c r="AF55" s="64" t="n"/>
      <c r="AG55" s="64" t="n"/>
      <c r="AH55" s="63" t="n"/>
      <c r="AI55" s="62" t="n"/>
      <c r="AJ55" s="63" t="n"/>
      <c r="AK55" s="62" t="n"/>
      <c r="AL55" s="63" t="n"/>
      <c r="AM55" s="62" t="n"/>
      <c r="AN55" s="64" t="n"/>
      <c r="AO55" s="64" t="n"/>
      <c r="AP55" s="63" t="n"/>
    </row>
    <row r="56">
      <c r="B56" s="69" t="n"/>
      <c r="C56" s="65" t="n"/>
      <c r="D56" s="70" t="inlineStr">
        <is>
          <t>メッセージ設計書_(サブシステムID)_(サブシステム名)</t>
        </is>
      </c>
      <c r="E56" s="67" t="n"/>
      <c r="F56" s="67" t="n"/>
      <c r="G56" s="67" t="n"/>
      <c r="H56" s="67" t="n"/>
      <c r="I56" s="67" t="n"/>
      <c r="J56" s="67" t="n"/>
      <c r="K56" s="67" t="n"/>
      <c r="L56" s="67" t="n"/>
      <c r="M56" s="67" t="n"/>
      <c r="N56" s="67" t="n"/>
      <c r="O56" s="67" t="n"/>
      <c r="P56" s="67" t="n"/>
      <c r="Q56" s="67" t="n"/>
      <c r="R56" s="67" t="n"/>
      <c r="S56" s="67" t="n"/>
      <c r="T56" s="67" t="n"/>
      <c r="U56" s="68" t="n"/>
      <c r="V56" s="70" t="inlineStr">
        <is>
          <t>Excel</t>
        </is>
      </c>
      <c r="W56" s="68" t="n"/>
      <c r="X56" s="70" t="inlineStr">
        <is>
          <t>メッセージの定義書【本システム: BT 出張申請】</t>
        </is>
      </c>
      <c r="Y56" s="67" t="n"/>
      <c r="Z56" s="67" t="n"/>
      <c r="AA56" s="67" t="n"/>
      <c r="AB56" s="67" t="n"/>
      <c r="AC56" s="67" t="n"/>
      <c r="AD56" s="67" t="n"/>
      <c r="AE56" s="67" t="n"/>
      <c r="AF56" s="67" t="n"/>
      <c r="AG56" s="67" t="n"/>
      <c r="AH56" s="68" t="n"/>
      <c r="AI56" s="70" t="inlineStr">
        <is>
          <t>サブシステム</t>
        </is>
      </c>
      <c r="AJ56" s="68" t="n"/>
      <c r="AK56" s="70" t="inlineStr">
        <is>
          <t>○</t>
        </is>
      </c>
      <c r="AL56" s="68" t="n"/>
      <c r="AM56" s="70" t="inlineStr">
        <is>
          <t>CC4</t>
        </is>
      </c>
      <c r="AN56" s="67" t="n"/>
      <c r="AO56" s="67" t="n"/>
      <c r="AP56" s="68" t="n"/>
    </row>
    <row r="57">
      <c r="B57" s="69" t="n"/>
      <c r="C57" s="59" t="inlineStr">
        <is>
          <t>コード設計</t>
        </is>
      </c>
      <c r="D57" s="60" t="n"/>
      <c r="E57" s="60" t="n"/>
      <c r="F57" s="60" t="n"/>
      <c r="G57" s="60" t="n"/>
      <c r="H57" s="60" t="n"/>
      <c r="I57" s="60" t="n"/>
      <c r="J57" s="60" t="n"/>
      <c r="K57" s="60" t="n"/>
      <c r="L57" s="60" t="n"/>
      <c r="M57" s="60" t="n"/>
      <c r="N57" s="60" t="n"/>
      <c r="O57" s="60" t="n"/>
      <c r="P57" s="60" t="n"/>
      <c r="Q57" s="60" t="n"/>
      <c r="R57" s="60" t="n"/>
      <c r="S57" s="60" t="n"/>
      <c r="T57" s="60" t="n"/>
      <c r="U57" s="61" t="n"/>
      <c r="V57" s="62" t="n"/>
      <c r="W57" s="63" t="n"/>
      <c r="X57" s="62" t="n"/>
      <c r="Y57" s="64" t="n"/>
      <c r="Z57" s="64" t="n"/>
      <c r="AA57" s="64" t="n"/>
      <c r="AB57" s="64" t="n"/>
      <c r="AC57" s="64" t="n"/>
      <c r="AD57" s="64" t="n"/>
      <c r="AE57" s="64" t="n"/>
      <c r="AF57" s="64" t="n"/>
      <c r="AG57" s="64" t="n"/>
      <c r="AH57" s="63" t="n"/>
      <c r="AI57" s="62" t="n"/>
      <c r="AJ57" s="63" t="n"/>
      <c r="AK57" s="62" t="n"/>
      <c r="AL57" s="63" t="n"/>
      <c r="AM57" s="62" t="n"/>
      <c r="AN57" s="64" t="n"/>
      <c r="AO57" s="64" t="n"/>
      <c r="AP57" s="63" t="n"/>
    </row>
    <row r="58">
      <c r="B58" s="69" t="n"/>
      <c r="C58" s="65" t="n"/>
      <c r="D58" s="70" t="inlineStr">
        <is>
          <t>コード設計書</t>
        </is>
      </c>
      <c r="E58" s="67" t="n"/>
      <c r="F58" s="67" t="n"/>
      <c r="G58" s="67" t="n"/>
      <c r="H58" s="67" t="n"/>
      <c r="I58" s="67" t="n"/>
      <c r="J58" s="67" t="n"/>
      <c r="K58" s="67" t="n"/>
      <c r="L58" s="67" t="n"/>
      <c r="M58" s="67" t="n"/>
      <c r="N58" s="67" t="n"/>
      <c r="O58" s="67" t="n"/>
      <c r="P58" s="67" t="n"/>
      <c r="Q58" s="67" t="n"/>
      <c r="R58" s="67" t="n"/>
      <c r="S58" s="67" t="n"/>
      <c r="T58" s="67" t="n"/>
      <c r="U58" s="68" t="n"/>
      <c r="V58" s="70" t="inlineStr">
        <is>
          <t>Excel</t>
        </is>
      </c>
      <c r="W58" s="68" t="n"/>
      <c r="X58" s="70" t="inlineStr">
        <is>
          <t>コード値、コード名称の定義書</t>
        </is>
      </c>
      <c r="Y58" s="67" t="n"/>
      <c r="Z58" s="67" t="n"/>
      <c r="AA58" s="67" t="n"/>
      <c r="AB58" s="67" t="n"/>
      <c r="AC58" s="67" t="n"/>
      <c r="AD58" s="67" t="n"/>
      <c r="AE58" s="67" t="n"/>
      <c r="AF58" s="67" t="n"/>
      <c r="AG58" s="67" t="n"/>
      <c r="AH58" s="68" t="n"/>
      <c r="AI58" s="70" t="inlineStr">
        <is>
          <t>システム</t>
        </is>
      </c>
      <c r="AJ58" s="68" t="n"/>
      <c r="AK58" s="70" t="inlineStr">
        <is>
          <t>○</t>
        </is>
      </c>
      <c r="AL58" s="68" t="n"/>
      <c r="AM58" s="70" t="inlineStr">
        <is>
          <t>CC4</t>
        </is>
      </c>
      <c r="AN58" s="67" t="n"/>
      <c r="AO58" s="67" t="n"/>
      <c r="AP58" s="68" t="n"/>
    </row>
    <row r="59">
      <c r="B59" s="71" t="n"/>
      <c r="C59" s="59" t="inlineStr">
        <is>
          <t>データモデル設計</t>
        </is>
      </c>
      <c r="D59" s="60" t="n"/>
      <c r="E59" s="60" t="n"/>
      <c r="F59" s="60" t="n"/>
      <c r="G59" s="60" t="n"/>
      <c r="H59" s="60" t="n"/>
      <c r="I59" s="60" t="n"/>
      <c r="J59" s="60" t="n"/>
      <c r="K59" s="60" t="n"/>
      <c r="L59" s="60" t="n"/>
      <c r="M59" s="60" t="n"/>
      <c r="N59" s="60" t="n"/>
      <c r="O59" s="60" t="n"/>
      <c r="P59" s="60" t="n"/>
      <c r="Q59" s="60" t="n"/>
      <c r="R59" s="60" t="n"/>
      <c r="S59" s="60" t="n"/>
      <c r="T59" s="60" t="n"/>
      <c r="U59" s="61" t="n"/>
      <c r="V59" s="62" t="n"/>
      <c r="W59" s="64" t="n"/>
      <c r="X59" s="62" t="n"/>
      <c r="Y59" s="64" t="n"/>
      <c r="Z59" s="64" t="n"/>
      <c r="AA59" s="64" t="n"/>
      <c r="AB59" s="64" t="n"/>
      <c r="AC59" s="64" t="n"/>
      <c r="AD59" s="64" t="n"/>
      <c r="AE59" s="64" t="n"/>
      <c r="AF59" s="64" t="n"/>
      <c r="AG59" s="64" t="n"/>
      <c r="AH59" s="63" t="n"/>
      <c r="AI59" s="62" t="n"/>
      <c r="AJ59" s="63" t="n"/>
      <c r="AK59" s="62" t="n"/>
      <c r="AL59" s="63" t="n"/>
      <c r="AM59" s="62" t="n"/>
      <c r="AN59" s="64" t="n"/>
      <c r="AO59" s="64" t="n"/>
      <c r="AP59" s="63" t="n"/>
    </row>
    <row r="60">
      <c r="B60" s="71" t="n"/>
      <c r="C60" s="69" t="n"/>
      <c r="D60" s="70" t="inlineStr">
        <is>
          <t>ER図</t>
        </is>
      </c>
      <c r="E60" s="67" t="n"/>
      <c r="F60" s="67" t="n"/>
      <c r="G60" s="67" t="n"/>
      <c r="H60" s="67" t="n"/>
      <c r="I60" s="67" t="n"/>
      <c r="J60" s="67" t="n"/>
      <c r="K60" s="67" t="n"/>
      <c r="L60" s="67" t="n"/>
      <c r="M60" s="67" t="n"/>
      <c r="N60" s="67" t="n"/>
      <c r="O60" s="67" t="n"/>
      <c r="P60" s="67" t="n"/>
      <c r="Q60" s="67" t="n"/>
      <c r="R60" s="67" t="n"/>
      <c r="S60" s="67" t="n"/>
      <c r="T60" s="67" t="n"/>
      <c r="U60" s="68" t="n"/>
      <c r="V60" s="70" t="inlineStr">
        <is>
          <t>-</t>
        </is>
      </c>
      <c r="W60" s="67" t="n"/>
      <c r="X60" s="70" t="inlineStr">
        <is>
          <t>テーブルの論理・物理設計を行ったER図</t>
        </is>
      </c>
      <c r="Y60" s="67" t="n"/>
      <c r="Z60" s="67" t="n"/>
      <c r="AA60" s="67" t="n"/>
      <c r="AB60" s="67" t="n"/>
      <c r="AC60" s="67" t="n"/>
      <c r="AD60" s="67" t="n"/>
      <c r="AE60" s="67" t="n"/>
      <c r="AF60" s="67" t="n"/>
      <c r="AG60" s="67" t="n"/>
      <c r="AH60" s="68" t="n"/>
      <c r="AI60" s="70" t="inlineStr">
        <is>
          <t>システム</t>
        </is>
      </c>
      <c r="AJ60" s="68" t="n"/>
      <c r="AK60" s="70" t="inlineStr">
        <is>
          <t>－</t>
        </is>
      </c>
      <c r="AL60" s="68" t="n"/>
      <c r="AM60" s="70" t="inlineStr">
        <is>
          <t>CC4</t>
        </is>
      </c>
      <c r="AN60" s="67" t="n"/>
      <c r="AO60" s="67" t="n"/>
      <c r="AP60" s="68" t="n"/>
    </row>
    <row r="61">
      <c r="B61" s="71" t="n"/>
      <c r="C61" s="69" t="n"/>
      <c r="D61" s="70" t="inlineStr">
        <is>
          <t>テーブル一覧</t>
        </is>
      </c>
      <c r="E61" s="67" t="n"/>
      <c r="F61" s="67" t="n"/>
      <c r="G61" s="67" t="n"/>
      <c r="H61" s="67" t="n"/>
      <c r="I61" s="67" t="n"/>
      <c r="J61" s="67" t="n"/>
      <c r="K61" s="67" t="n"/>
      <c r="L61" s="67" t="n"/>
      <c r="M61" s="67" t="n"/>
      <c r="N61" s="67" t="n"/>
      <c r="O61" s="67" t="n"/>
      <c r="P61" s="67" t="n"/>
      <c r="Q61" s="67" t="n"/>
      <c r="R61" s="67" t="n"/>
      <c r="S61" s="67" t="n"/>
      <c r="T61" s="67" t="n"/>
      <c r="U61" s="68" t="n"/>
      <c r="V61" s="70" t="inlineStr">
        <is>
          <t>Excel</t>
        </is>
      </c>
      <c r="W61" s="67" t="n"/>
      <c r="X61" s="70" t="inlineStr">
        <is>
          <t>システムのテーブル一覧</t>
        </is>
      </c>
      <c r="Y61" s="67" t="n"/>
      <c r="Z61" s="67" t="n"/>
      <c r="AA61" s="67" t="n"/>
      <c r="AB61" s="67" t="n"/>
      <c r="AC61" s="67" t="n"/>
      <c r="AD61" s="67" t="n"/>
      <c r="AE61" s="67" t="n"/>
      <c r="AF61" s="67" t="n"/>
      <c r="AG61" s="67" t="n"/>
      <c r="AH61" s="68" t="n"/>
      <c r="AI61" s="70" t="inlineStr">
        <is>
          <t>システム</t>
        </is>
      </c>
      <c r="AJ61" s="68" t="n"/>
      <c r="AK61" s="70" t="inlineStr">
        <is>
          <t>○</t>
        </is>
      </c>
      <c r="AL61" s="68" t="n"/>
      <c r="AM61" s="70" t="inlineStr">
        <is>
          <t>CC4</t>
        </is>
      </c>
      <c r="AN61" s="67" t="n"/>
      <c r="AO61" s="67" t="n"/>
      <c r="AP61" s="68" t="n"/>
    </row>
    <row r="62">
      <c r="B62" s="71" t="n"/>
      <c r="C62" s="69" t="n"/>
      <c r="D62" s="70" t="inlineStr">
        <is>
          <t>テーブル定義書_(サブシステムID)_(サブシステム名)</t>
        </is>
      </c>
      <c r="E62" s="67" t="n"/>
      <c r="F62" s="67" t="n"/>
      <c r="G62" s="67" t="n"/>
      <c r="H62" s="67" t="n"/>
      <c r="I62" s="67" t="n"/>
      <c r="J62" s="67" t="n"/>
      <c r="K62" s="67" t="n"/>
      <c r="L62" s="67" t="n"/>
      <c r="M62" s="67" t="n"/>
      <c r="N62" s="67" t="n"/>
      <c r="O62" s="67" t="n"/>
      <c r="P62" s="67" t="n"/>
      <c r="Q62" s="67" t="n"/>
      <c r="R62" s="67" t="n"/>
      <c r="S62" s="67" t="n"/>
      <c r="T62" s="67" t="n"/>
      <c r="U62" s="68" t="n"/>
      <c r="V62" s="70" t="inlineStr">
        <is>
          <t>Excel</t>
        </is>
      </c>
      <c r="W62" s="67" t="n"/>
      <c r="X62" s="70" t="inlineStr">
        <is>
          <t>テーブルの詳細情報を記載した設計書【本システム: BT 出張申請（BT_APPLICATION／BT_PLANNED_COST／BT_ACTUAL_COST／BT_EMPLOYEE）】</t>
        </is>
      </c>
      <c r="Y62" s="67" t="n"/>
      <c r="Z62" s="67" t="n"/>
      <c r="AA62" s="67" t="n"/>
      <c r="AB62" s="67" t="n"/>
      <c r="AC62" s="67" t="n"/>
      <c r="AD62" s="67" t="n"/>
      <c r="AE62" s="67" t="n"/>
      <c r="AF62" s="67" t="n"/>
      <c r="AG62" s="67" t="n"/>
      <c r="AH62" s="68" t="n"/>
      <c r="AI62" s="70" t="inlineStr">
        <is>
          <t>サブシステム</t>
        </is>
      </c>
      <c r="AJ62" s="68" t="n"/>
      <c r="AK62" s="70" t="inlineStr">
        <is>
          <t>○</t>
        </is>
      </c>
      <c r="AL62" s="68" t="n"/>
      <c r="AM62" s="70" t="inlineStr">
        <is>
          <t>CC4</t>
        </is>
      </c>
      <c r="AN62" s="67" t="n"/>
      <c r="AO62" s="67" t="n"/>
      <c r="AP62" s="68" t="n"/>
    </row>
    <row r="63">
      <c r="B63" s="71" t="n"/>
      <c r="C63" s="69" t="n"/>
      <c r="D63" s="70" t="inlineStr">
        <is>
          <t>ドメイン定義書</t>
        </is>
      </c>
      <c r="E63" s="67" t="n"/>
      <c r="F63" s="67" t="n"/>
      <c r="G63" s="67" t="n"/>
      <c r="H63" s="67" t="n"/>
      <c r="I63" s="67" t="n"/>
      <c r="J63" s="67" t="n"/>
      <c r="K63" s="67" t="n"/>
      <c r="L63" s="67" t="n"/>
      <c r="M63" s="67" t="n"/>
      <c r="N63" s="67" t="n"/>
      <c r="O63" s="67" t="n"/>
      <c r="P63" s="67" t="n"/>
      <c r="Q63" s="67" t="n"/>
      <c r="R63" s="67" t="n"/>
      <c r="S63" s="67" t="n"/>
      <c r="T63" s="67" t="n"/>
      <c r="U63" s="68" t="n"/>
      <c r="V63" s="70" t="inlineStr">
        <is>
          <t>Excel</t>
        </is>
      </c>
      <c r="W63" s="67" t="n"/>
      <c r="X63" s="70" t="inlineStr">
        <is>
          <t>ドメインを定義する設計書</t>
        </is>
      </c>
      <c r="Y63" s="67" t="n"/>
      <c r="Z63" s="67" t="n"/>
      <c r="AA63" s="67" t="n"/>
      <c r="AB63" s="67" t="n"/>
      <c r="AC63" s="67" t="n"/>
      <c r="AD63" s="67" t="n"/>
      <c r="AE63" s="67" t="n"/>
      <c r="AF63" s="67" t="n"/>
      <c r="AG63" s="67" t="n"/>
      <c r="AH63" s="68" t="n"/>
      <c r="AI63" s="70" t="inlineStr">
        <is>
          <t>システム</t>
        </is>
      </c>
      <c r="AJ63" s="68" t="n"/>
      <c r="AK63" s="70" t="inlineStr">
        <is>
          <t>○</t>
        </is>
      </c>
      <c r="AL63" s="68" t="n"/>
      <c r="AM63" s="70" t="inlineStr">
        <is>
          <t>CC4</t>
        </is>
      </c>
      <c r="AN63" s="67" t="n"/>
      <c r="AO63" s="67" t="n"/>
      <c r="AP63" s="68" t="n"/>
    </row>
    <row r="64">
      <c r="B64" s="71" t="n"/>
      <c r="C64" s="65" t="n"/>
      <c r="D64" s="70" t="inlineStr">
        <is>
          <t>採番一覧_(サブシステムID)_(サブシステム名)</t>
        </is>
      </c>
      <c r="E64" s="67" t="n"/>
      <c r="F64" s="67" t="n"/>
      <c r="G64" s="67" t="n"/>
      <c r="H64" s="67" t="n"/>
      <c r="I64" s="67" t="n"/>
      <c r="J64" s="67" t="n"/>
      <c r="K64" s="67" t="n"/>
      <c r="L64" s="67" t="n"/>
      <c r="M64" s="67" t="n"/>
      <c r="N64" s="67" t="n"/>
      <c r="O64" s="67" t="n"/>
      <c r="P64" s="67" t="n"/>
      <c r="Q64" s="67" t="n"/>
      <c r="R64" s="67" t="n"/>
      <c r="S64" s="67" t="n"/>
      <c r="T64" s="67" t="n"/>
      <c r="U64" s="68" t="n"/>
      <c r="V64" s="70" t="inlineStr">
        <is>
          <t>Excel</t>
        </is>
      </c>
      <c r="W64" s="67" t="n"/>
      <c r="X64" s="70" t="inlineStr">
        <is>
          <t>サブシステムごとの採番の一覧【本システム: BT 出張申請】</t>
        </is>
      </c>
      <c r="Y64" s="67" t="n"/>
      <c r="Z64" s="67" t="n"/>
      <c r="AA64" s="67" t="n"/>
      <c r="AB64" s="67" t="n"/>
      <c r="AC64" s="67" t="n"/>
      <c r="AD64" s="67" t="n"/>
      <c r="AE64" s="67" t="n"/>
      <c r="AF64" s="67" t="n"/>
      <c r="AG64" s="67" t="n"/>
      <c r="AH64" s="68" t="n"/>
      <c r="AI64" s="70" t="inlineStr">
        <is>
          <t>サブシステム</t>
        </is>
      </c>
      <c r="AJ64" s="68" t="n"/>
      <c r="AK64" s="70" t="inlineStr">
        <is>
          <t>○</t>
        </is>
      </c>
      <c r="AL64" s="68" t="n"/>
      <c r="AM64" s="70" t="inlineStr">
        <is>
          <t>CC4</t>
        </is>
      </c>
      <c r="AN64" s="67" t="n"/>
      <c r="AO64" s="67" t="n"/>
      <c r="AP64" s="68" t="n"/>
    </row>
    <row r="65">
      <c r="B65" s="71" t="n"/>
      <c r="C65" s="59" t="inlineStr">
        <is>
          <t>ジョブフロー設計</t>
        </is>
      </c>
      <c r="D65" s="60" t="n"/>
      <c r="E65" s="60" t="n"/>
      <c r="F65" s="60" t="n"/>
      <c r="G65" s="60" t="n"/>
      <c r="H65" s="60" t="n"/>
      <c r="I65" s="60" t="n"/>
      <c r="J65" s="60" t="n"/>
      <c r="K65" s="60" t="n"/>
      <c r="L65" s="60" t="n"/>
      <c r="M65" s="60" t="n"/>
      <c r="N65" s="60" t="n"/>
      <c r="O65" s="60" t="n"/>
      <c r="P65" s="60" t="n"/>
      <c r="Q65" s="60" t="n"/>
      <c r="R65" s="60" t="n"/>
      <c r="S65" s="60" t="n"/>
      <c r="T65" s="60" t="n"/>
      <c r="U65" s="61" t="n"/>
      <c r="V65" s="62" t="n"/>
      <c r="W65" s="64" t="n"/>
      <c r="X65" s="62" t="n"/>
      <c r="Y65" s="64" t="n"/>
      <c r="Z65" s="64" t="n"/>
      <c r="AA65" s="64" t="n"/>
      <c r="AB65" s="64" t="n"/>
      <c r="AC65" s="64" t="n"/>
      <c r="AD65" s="64" t="n"/>
      <c r="AE65" s="64" t="n"/>
      <c r="AF65" s="64" t="n"/>
      <c r="AG65" s="64" t="n"/>
      <c r="AH65" s="63" t="n"/>
      <c r="AI65" s="62" t="n"/>
      <c r="AJ65" s="63" t="n"/>
      <c r="AK65" s="62" t="n"/>
      <c r="AL65" s="63" t="n"/>
      <c r="AM65" s="62" t="n"/>
      <c r="AN65" s="64" t="n"/>
      <c r="AO65" s="64" t="n"/>
      <c r="AP65" s="63" t="n"/>
    </row>
    <row r="66">
      <c r="B66" s="71" t="n"/>
      <c r="C66" s="65" t="n"/>
      <c r="D66" s="70" t="inlineStr">
        <is>
          <t>ネット・ジョブフロー_(サブシステムID)_(サブシステム名)</t>
        </is>
      </c>
      <c r="E66" s="67" t="n"/>
      <c r="F66" s="67" t="n"/>
      <c r="G66" s="67" t="n"/>
      <c r="H66" s="67" t="n"/>
      <c r="I66" s="67" t="n"/>
      <c r="J66" s="67" t="n"/>
      <c r="K66" s="67" t="n"/>
      <c r="L66" s="67" t="n"/>
      <c r="M66" s="67" t="n"/>
      <c r="N66" s="67" t="n"/>
      <c r="O66" s="67" t="n"/>
      <c r="P66" s="67" t="n"/>
      <c r="Q66" s="67" t="n"/>
      <c r="R66" s="67" t="n"/>
      <c r="S66" s="67" t="n"/>
      <c r="T66" s="67" t="n"/>
      <c r="U66" s="68" t="n"/>
      <c r="V66" s="70" t="inlineStr">
        <is>
          <t>Excel</t>
        </is>
      </c>
      <c r="W66" s="67" t="n"/>
      <c r="X66" s="70" t="inlineStr">
        <is>
          <t>ジョブネット、ジョブフローを定義した設計書【本システム: NBT0601 経理連携（BTB01 経理連携ファイル作成バッチ）】</t>
        </is>
      </c>
      <c r="Y66" s="67" t="n"/>
      <c r="Z66" s="67" t="n"/>
      <c r="AA66" s="67" t="n"/>
      <c r="AB66" s="67" t="n"/>
      <c r="AC66" s="67" t="n"/>
      <c r="AD66" s="67" t="n"/>
      <c r="AE66" s="67" t="n"/>
      <c r="AF66" s="67" t="n"/>
      <c r="AG66" s="67" t="n"/>
      <c r="AH66" s="68" t="n"/>
      <c r="AI66" s="70" t="inlineStr">
        <is>
          <t>サブシステム</t>
        </is>
      </c>
      <c r="AJ66" s="68" t="n"/>
      <c r="AK66" s="70" t="inlineStr">
        <is>
          <t>○</t>
        </is>
      </c>
      <c r="AL66" s="68" t="n"/>
      <c r="AM66" s="70" t="inlineStr">
        <is>
          <t>CC4</t>
        </is>
      </c>
      <c r="AN66" s="67" t="n"/>
      <c r="AO66" s="67" t="n"/>
      <c r="AP66" s="68" t="n"/>
    </row>
    <row r="67">
      <c r="B67" s="71" t="n"/>
      <c r="C67" s="59" t="inlineStr">
        <is>
          <t>テスト仕様書</t>
        </is>
      </c>
      <c r="D67" s="60" t="n"/>
      <c r="E67" s="60" t="n"/>
      <c r="F67" s="60" t="n"/>
      <c r="G67" s="60" t="n"/>
      <c r="H67" s="60" t="n"/>
      <c r="I67" s="60" t="n"/>
      <c r="J67" s="60" t="n"/>
      <c r="K67" s="60" t="n"/>
      <c r="L67" s="60" t="n"/>
      <c r="M67" s="60" t="n"/>
      <c r="N67" s="60" t="n"/>
      <c r="O67" s="60" t="n"/>
      <c r="P67" s="60" t="n"/>
      <c r="Q67" s="60" t="n"/>
      <c r="R67" s="60" t="n"/>
      <c r="S67" s="60" t="n"/>
      <c r="T67" s="60" t="n"/>
      <c r="U67" s="61" t="n"/>
      <c r="V67" s="62" t="n"/>
      <c r="W67" s="64" t="n"/>
      <c r="X67" s="62" t="n"/>
      <c r="Y67" s="64" t="n"/>
      <c r="Z67" s="64" t="n"/>
      <c r="AA67" s="64" t="n"/>
      <c r="AB67" s="64" t="n"/>
      <c r="AC67" s="64" t="n"/>
      <c r="AD67" s="64" t="n"/>
      <c r="AE67" s="64" t="n"/>
      <c r="AF67" s="64" t="n"/>
      <c r="AG67" s="64" t="n"/>
      <c r="AH67" s="63" t="n"/>
      <c r="AI67" s="62" t="n"/>
      <c r="AJ67" s="63" t="n"/>
      <c r="AK67" s="62" t="n"/>
      <c r="AL67" s="63" t="n"/>
      <c r="AM67" s="62" t="n"/>
      <c r="AN67" s="64" t="n"/>
      <c r="AO67" s="64" t="n"/>
      <c r="AP67" s="63" t="n"/>
    </row>
    <row r="68">
      <c r="B68" s="71" t="n"/>
      <c r="C68" s="69" t="n"/>
      <c r="D68" s="76" t="inlineStr">
        <is>
          <t>単体テスト仕様書(Webサービス)_(取引ID)_(取引名)</t>
        </is>
      </c>
      <c r="E68" s="67" t="n"/>
      <c r="F68" s="67" t="n"/>
      <c r="G68" s="67" t="n"/>
      <c r="H68" s="67" t="n"/>
      <c r="I68" s="67" t="n"/>
      <c r="J68" s="67" t="n"/>
      <c r="K68" s="67" t="n"/>
      <c r="L68" s="67" t="n"/>
      <c r="M68" s="67" t="n"/>
      <c r="N68" s="67" t="n"/>
      <c r="O68" s="67" t="n"/>
      <c r="P68" s="67" t="n"/>
      <c r="Q68" s="67" t="n"/>
      <c r="R68" s="67" t="n"/>
      <c r="S68" s="67" t="n"/>
      <c r="T68" s="67" t="n"/>
      <c r="U68" s="68" t="n"/>
      <c r="V68" s="70" t="inlineStr">
        <is>
          <t>Excel</t>
        </is>
      </c>
      <c r="W68" s="67" t="n"/>
      <c r="X68" s="76" t="inlineStr">
        <is>
          <t>Webサービスの単体テストの仕様書</t>
        </is>
      </c>
      <c r="Y68" s="67" t="n"/>
      <c r="Z68" s="67" t="n"/>
      <c r="AA68" s="67" t="n"/>
      <c r="AB68" s="67" t="n"/>
      <c r="AC68" s="67" t="n"/>
      <c r="AD68" s="67" t="n"/>
      <c r="AE68" s="67" t="n"/>
      <c r="AF68" s="67" t="n"/>
      <c r="AG68" s="67" t="n"/>
      <c r="AH68" s="68" t="n"/>
      <c r="AI68" s="70" t="inlineStr">
        <is>
          <t>取引</t>
        </is>
      </c>
      <c r="AJ68" s="68" t="n"/>
      <c r="AK68" s="70" t="inlineStr">
        <is>
          <t>－</t>
        </is>
      </c>
      <c r="AL68" s="68" t="n"/>
      <c r="AM68" s="70" t="inlineStr">
        <is>
          <t>CC4</t>
        </is>
      </c>
      <c r="AN68" s="67" t="n"/>
      <c r="AO68" s="67" t="n"/>
      <c r="AP68" s="68" t="n"/>
    </row>
    <row r="69">
      <c r="B69" s="71" t="n"/>
      <c r="C69" s="69" t="n"/>
      <c r="D69" s="76" t="inlineStr">
        <is>
          <t>単体テスト仕様書(バッチ)_(取引ID)_(取引名)</t>
        </is>
      </c>
      <c r="E69" s="67" t="n"/>
      <c r="F69" s="67" t="n"/>
      <c r="G69" s="67" t="n"/>
      <c r="H69" s="67" t="n"/>
      <c r="I69" s="67" t="n"/>
      <c r="J69" s="67" t="n"/>
      <c r="K69" s="67" t="n"/>
      <c r="L69" s="67" t="n"/>
      <c r="M69" s="67" t="n"/>
      <c r="N69" s="67" t="n"/>
      <c r="O69" s="67" t="n"/>
      <c r="P69" s="67" t="n"/>
      <c r="Q69" s="67" t="n"/>
      <c r="R69" s="67" t="n"/>
      <c r="S69" s="67" t="n"/>
      <c r="T69" s="67" t="n"/>
      <c r="U69" s="68" t="n"/>
      <c r="V69" s="70" t="inlineStr">
        <is>
          <t>Excel</t>
        </is>
      </c>
      <c r="W69" s="67" t="n"/>
      <c r="X69" s="70" t="inlineStr">
        <is>
          <t>バッチの単体テストの仕様書</t>
        </is>
      </c>
      <c r="Y69" s="67" t="n"/>
      <c r="Z69" s="67" t="n"/>
      <c r="AA69" s="67" t="n"/>
      <c r="AB69" s="67" t="n"/>
      <c r="AC69" s="67" t="n"/>
      <c r="AD69" s="67" t="n"/>
      <c r="AE69" s="67" t="n"/>
      <c r="AF69" s="67" t="n"/>
      <c r="AG69" s="67" t="n"/>
      <c r="AH69" s="68" t="n"/>
      <c r="AI69" s="70" t="inlineStr">
        <is>
          <t>取引</t>
        </is>
      </c>
      <c r="AJ69" s="68" t="n"/>
      <c r="AK69" s="70" t="inlineStr">
        <is>
          <t>－</t>
        </is>
      </c>
      <c r="AL69" s="68" t="n"/>
      <c r="AM69" s="70" t="inlineStr">
        <is>
          <t>CC4</t>
        </is>
      </c>
      <c r="AN69" s="67" t="n"/>
      <c r="AO69" s="67" t="n"/>
      <c r="AP69" s="68" t="n"/>
    </row>
    <row r="70">
      <c r="B70" s="71" t="n"/>
      <c r="C70" s="69" t="n"/>
      <c r="D70" s="76" t="inlineStr">
        <is>
          <t>単体テスト仕様書(メッセージ)_(取引ID)_(取引名)</t>
        </is>
      </c>
      <c r="E70" s="67" t="n"/>
      <c r="F70" s="67" t="n"/>
      <c r="G70" s="67" t="n"/>
      <c r="H70" s="67" t="n"/>
      <c r="I70" s="67" t="n"/>
      <c r="J70" s="67" t="n"/>
      <c r="K70" s="67" t="n"/>
      <c r="L70" s="67" t="n"/>
      <c r="M70" s="67" t="n"/>
      <c r="N70" s="67" t="n"/>
      <c r="O70" s="67" t="n"/>
      <c r="P70" s="67" t="n"/>
      <c r="Q70" s="67" t="n"/>
      <c r="R70" s="67" t="n"/>
      <c r="S70" s="67" t="n"/>
      <c r="T70" s="67" t="n"/>
      <c r="U70" s="68" t="n"/>
      <c r="V70" s="70" t="inlineStr">
        <is>
          <t>Excel</t>
        </is>
      </c>
      <c r="W70" s="67" t="n"/>
      <c r="X70" s="70" t="inlineStr">
        <is>
          <t>メッセージリクエストの単体テストの定義書</t>
        </is>
      </c>
      <c r="Y70" s="67" t="n"/>
      <c r="Z70" s="67" t="n"/>
      <c r="AA70" s="67" t="n"/>
      <c r="AB70" s="67" t="n"/>
      <c r="AC70" s="67" t="n"/>
      <c r="AD70" s="67" t="n"/>
      <c r="AE70" s="67" t="n"/>
      <c r="AF70" s="67" t="n"/>
      <c r="AG70" s="67" t="n"/>
      <c r="AH70" s="68" t="n"/>
      <c r="AI70" s="70" t="inlineStr">
        <is>
          <t>取引</t>
        </is>
      </c>
      <c r="AJ70" s="68" t="n"/>
      <c r="AK70" s="70" t="inlineStr">
        <is>
          <t>－</t>
        </is>
      </c>
      <c r="AL70" s="68" t="n"/>
      <c r="AM70" s="70" t="inlineStr">
        <is>
          <t>CC4</t>
        </is>
      </c>
      <c r="AN70" s="67" t="n"/>
      <c r="AO70" s="67" t="n"/>
      <c r="AP70" s="68" t="n"/>
    </row>
    <row r="71">
      <c r="B71" s="71" t="n"/>
      <c r="C71" s="69" t="n"/>
      <c r="D71" s="76" t="inlineStr">
        <is>
          <t>単体テスト仕様書(画面)_(取引ID)_(取引名)</t>
        </is>
      </c>
      <c r="E71" s="67" t="n"/>
      <c r="F71" s="67" t="n"/>
      <c r="G71" s="67" t="n"/>
      <c r="H71" s="67" t="n"/>
      <c r="I71" s="67" t="n"/>
      <c r="J71" s="67" t="n"/>
      <c r="K71" s="67" t="n"/>
      <c r="L71" s="67" t="n"/>
      <c r="M71" s="67" t="n"/>
      <c r="N71" s="67" t="n"/>
      <c r="O71" s="67" t="n"/>
      <c r="P71" s="67" t="n"/>
      <c r="Q71" s="67" t="n"/>
      <c r="R71" s="67" t="n"/>
      <c r="S71" s="67" t="n"/>
      <c r="T71" s="67" t="n"/>
      <c r="U71" s="68" t="n"/>
      <c r="V71" s="70" t="inlineStr">
        <is>
          <t>Excel</t>
        </is>
      </c>
      <c r="W71" s="67" t="n"/>
      <c r="X71" s="70" t="inlineStr">
        <is>
          <t>画面へのリクエストの単体テストの定義書</t>
        </is>
      </c>
      <c r="Y71" s="67" t="n"/>
      <c r="Z71" s="67" t="n"/>
      <c r="AA71" s="67" t="n"/>
      <c r="AB71" s="67" t="n"/>
      <c r="AC71" s="67" t="n"/>
      <c r="AD71" s="67" t="n"/>
      <c r="AE71" s="67" t="n"/>
      <c r="AF71" s="67" t="n"/>
      <c r="AG71" s="67" t="n"/>
      <c r="AH71" s="68" t="n"/>
      <c r="AI71" s="70" t="inlineStr">
        <is>
          <t>取引</t>
        </is>
      </c>
      <c r="AJ71" s="68" t="n"/>
      <c r="AK71" s="70" t="inlineStr">
        <is>
          <t>－</t>
        </is>
      </c>
      <c r="AL71" s="68" t="n"/>
      <c r="AM71" s="70" t="inlineStr">
        <is>
          <t>CC4</t>
        </is>
      </c>
      <c r="AN71" s="67" t="n"/>
      <c r="AO71" s="67" t="n"/>
      <c r="AP71" s="68" t="n"/>
    </row>
    <row r="72">
      <c r="B72" s="72" t="n"/>
      <c r="C72" s="65" t="n"/>
      <c r="D72" s="76" t="inlineStr">
        <is>
          <t>単体テスト仕様書(共通コンポーネント)_(共通コンポーネントID)_(共通コンポーネント名)</t>
        </is>
      </c>
      <c r="E72" s="67" t="n"/>
      <c r="F72" s="67" t="n"/>
      <c r="G72" s="67" t="n"/>
      <c r="H72" s="67" t="n"/>
      <c r="I72" s="67" t="n"/>
      <c r="J72" s="67" t="n"/>
      <c r="K72" s="67" t="n"/>
      <c r="L72" s="67" t="n"/>
      <c r="M72" s="67" t="n"/>
      <c r="N72" s="67" t="n"/>
      <c r="O72" s="67" t="n"/>
      <c r="P72" s="67" t="n"/>
      <c r="Q72" s="67" t="n"/>
      <c r="R72" s="67" t="n"/>
      <c r="S72" s="67" t="n"/>
      <c r="T72" s="67" t="n"/>
      <c r="U72" s="68" t="n"/>
      <c r="V72" s="70" t="inlineStr">
        <is>
          <t>Excel</t>
        </is>
      </c>
      <c r="W72" s="67" t="n"/>
      <c r="X72" s="70" t="inlineStr">
        <is>
          <t>共通コンポーネントの単体テストの定義書</t>
        </is>
      </c>
      <c r="Y72" s="67" t="n"/>
      <c r="Z72" s="67" t="n"/>
      <c r="AA72" s="67" t="n"/>
      <c r="AB72" s="67" t="n"/>
      <c r="AC72" s="67" t="n"/>
      <c r="AD72" s="67" t="n"/>
      <c r="AE72" s="67" t="n"/>
      <c r="AF72" s="67" t="n"/>
      <c r="AG72" s="67" t="n"/>
      <c r="AH72" s="68" t="n"/>
      <c r="AI72" s="70" t="inlineStr">
        <is>
          <t>コンポーネント</t>
        </is>
      </c>
      <c r="AJ72" s="68" t="n"/>
      <c r="AK72" s="70" t="inlineStr">
        <is>
          <t>－</t>
        </is>
      </c>
      <c r="AL72" s="68" t="n"/>
      <c r="AM72" s="70" t="inlineStr">
        <is>
          <t>CC4</t>
        </is>
      </c>
      <c r="AN72" s="67" t="n"/>
      <c r="AO72" s="67" t="n"/>
      <c r="AP72" s="68" t="n"/>
    </row>
  </sheetData>
  <mergeCells count="17">
    <mergeCell ref="A1:D1"/>
    <mergeCell ref="AG2:AI2"/>
    <mergeCell ref="AA3:AB3"/>
    <mergeCell ref="AG1:AI1"/>
    <mergeCell ref="AA2:AB2"/>
    <mergeCell ref="AC3:AF3"/>
    <mergeCell ref="S1:Z3"/>
    <mergeCell ref="A3:D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scale="75" fitToHeight="0"/>
  <headerFooter alignWithMargins="0">
    <oddHeader/>
    <oddFooter>&amp;C- &amp;P -</oddFooter>
    <evenHeader/>
    <evenFooter/>
    <firstHeader/>
    <firstFooter/>
  </headerFooter>
  <rowBreaks count="1" manualBreakCount="1">
    <brk id="58" min="0" max="42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W112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6" min="1" max="31"/>
    <col width="4.83203125" customWidth="1" style="6" min="32" max="16384"/>
  </cols>
  <sheetData>
    <row r="1" ht="12" customFormat="1" customHeight="1" s="3">
      <c r="A1" s="192" t="inlineStr">
        <is>
          <t>PJ名</t>
        </is>
      </c>
      <c r="B1" s="189" t="n"/>
      <c r="C1" s="189" t="n"/>
      <c r="D1" s="190" t="n"/>
      <c r="E1" s="198">
        <f>IF(INDIRECT("変更履歴!E1")&lt;&gt;"",INDIRECT("変更履歴!E1"),"")</f>
        <v/>
      </c>
      <c r="F1" s="189" t="n"/>
      <c r="G1" s="189" t="n"/>
      <c r="H1" s="189" t="n"/>
      <c r="I1" s="189" t="n"/>
      <c r="J1" s="189" t="n"/>
      <c r="K1" s="189" t="n"/>
      <c r="L1" s="189" t="n"/>
      <c r="M1" s="189" t="n"/>
      <c r="N1" s="190" t="n"/>
      <c r="O1" s="223" t="inlineStr">
        <is>
          <t>成果物名</t>
        </is>
      </c>
      <c r="P1" s="193" t="n"/>
      <c r="Q1" s="193" t="n"/>
      <c r="R1" s="194" t="n"/>
      <c r="S1" s="224">
        <f>IF(INDIRECT("変更履歴!S1")&lt;&gt;"",INDIRECT("変更履歴!S1"),"")</f>
        <v/>
      </c>
      <c r="T1" s="193" t="n"/>
      <c r="U1" s="193" t="n"/>
      <c r="V1" s="193" t="n"/>
      <c r="W1" s="193" t="n"/>
      <c r="X1" s="193" t="n"/>
      <c r="Y1" s="193" t="n"/>
      <c r="Z1" s="194" t="n"/>
      <c r="AA1" s="192" t="inlineStr">
        <is>
          <t>作成</t>
        </is>
      </c>
      <c r="AB1" s="190" t="n"/>
      <c r="AC1" s="196">
        <f>IF(INDIRECT("変更履歴!AC1")&lt;&gt;"",INDIRECT("変更履歴!AC1"),"")</f>
        <v/>
      </c>
      <c r="AD1" s="189" t="n"/>
      <c r="AE1" s="189" t="n"/>
      <c r="AF1" s="190" t="n"/>
      <c r="AG1" s="222">
        <f>IF(INDIRECT("変更履歴!AG1")&lt;&gt;"",INDIRECT("変更履歴!AG1"),"")</f>
        <v/>
      </c>
      <c r="AH1" s="189" t="n"/>
      <c r="AI1" s="190" t="n"/>
      <c r="AJ1" s="6" t="n"/>
      <c r="AN1" s="7" t="n"/>
      <c r="AO1" s="6" t="n"/>
      <c r="AP1" s="6" t="n"/>
      <c r="AQ1" s="6" t="n"/>
      <c r="AR1" s="6" t="n"/>
      <c r="AS1" s="225" t="n"/>
      <c r="AT1" s="6" t="n"/>
      <c r="AU1" s="6" t="n"/>
      <c r="AV1" s="6" t="n"/>
      <c r="AW1" s="6" t="n"/>
    </row>
    <row r="2" ht="12" customFormat="1" customHeight="1" s="3">
      <c r="A2" s="192" t="inlineStr">
        <is>
          <t>システム名</t>
        </is>
      </c>
      <c r="B2" s="189" t="n"/>
      <c r="C2" s="189" t="n"/>
      <c r="D2" s="190" t="n"/>
      <c r="E2" s="198">
        <f>IF(INDIRECT("変更履歴!E2")&lt;&gt;"",INDIRECT("変更履歴!E2"),"")</f>
        <v/>
      </c>
      <c r="F2" s="189" t="n"/>
      <c r="G2" s="189" t="n"/>
      <c r="H2" s="189" t="n"/>
      <c r="I2" s="189" t="n"/>
      <c r="J2" s="189" t="n"/>
      <c r="K2" s="189" t="n"/>
      <c r="L2" s="189" t="n"/>
      <c r="M2" s="189" t="n"/>
      <c r="N2" s="190" t="n"/>
      <c r="O2" s="199" t="n"/>
      <c r="R2" s="200" t="n"/>
      <c r="S2" s="199" t="n"/>
      <c r="Z2" s="200" t="n"/>
      <c r="AA2" s="192" t="inlineStr">
        <is>
          <t>変更</t>
        </is>
      </c>
      <c r="AB2" s="190" t="n"/>
      <c r="AC2" s="196">
        <f>IF(INDIRECT("変更履歴!AC2")&lt;&gt;"",INDIRECT("変更履歴!AC2"),"")</f>
        <v/>
      </c>
      <c r="AD2" s="189" t="n"/>
      <c r="AE2" s="189" t="n"/>
      <c r="AF2" s="190" t="n"/>
      <c r="AG2" s="222">
        <f>IF(INDIRECT("変更履歴!AG2")&lt;&gt;"",INDIRECT("変更履歴!AG2"),"")</f>
        <v/>
      </c>
      <c r="AH2" s="189" t="n"/>
      <c r="AI2" s="190" t="n"/>
      <c r="AJ2" s="6" t="n"/>
      <c r="AN2" s="7" t="n"/>
      <c r="AO2" s="6" t="n"/>
      <c r="AP2" s="6" t="n"/>
      <c r="AQ2" s="6" t="n"/>
      <c r="AR2" s="6" t="n"/>
      <c r="AS2" s="225" t="n"/>
      <c r="AT2" s="6" t="n"/>
      <c r="AU2" s="6" t="n"/>
      <c r="AV2" s="6" t="n"/>
      <c r="AW2" s="6" t="n"/>
    </row>
    <row r="3" ht="12" customFormat="1" customHeight="1" s="3">
      <c r="A3" s="192" t="inlineStr">
        <is>
          <t>サブシステム名</t>
        </is>
      </c>
      <c r="B3" s="189" t="n"/>
      <c r="C3" s="189" t="n"/>
      <c r="D3" s="190" t="n"/>
      <c r="E3" s="198">
        <f>IF(INDIRECT("変更履歴!E3")&lt;&gt;"",INDIRECT("変更履歴!E3"),"")</f>
        <v/>
      </c>
      <c r="F3" s="189" t="n"/>
      <c r="G3" s="189" t="n"/>
      <c r="H3" s="189" t="n"/>
      <c r="I3" s="189" t="n"/>
      <c r="J3" s="189" t="n"/>
      <c r="K3" s="189" t="n"/>
      <c r="L3" s="189" t="n"/>
      <c r="M3" s="189" t="n"/>
      <c r="N3" s="190" t="n"/>
      <c r="O3" s="202" t="n"/>
      <c r="P3" s="203" t="n"/>
      <c r="Q3" s="203" t="n"/>
      <c r="R3" s="204" t="n"/>
      <c r="S3" s="202" t="n"/>
      <c r="T3" s="203" t="n"/>
      <c r="U3" s="203" t="n"/>
      <c r="V3" s="203" t="n"/>
      <c r="W3" s="203" t="n"/>
      <c r="X3" s="203" t="n"/>
      <c r="Y3" s="203" t="n"/>
      <c r="Z3" s="204" t="n"/>
      <c r="AA3" s="192" t="n"/>
      <c r="AB3" s="190" t="n"/>
      <c r="AC3" s="196">
        <f>IF(INDIRECT("変更履歴!AC3")&lt;&gt;"",INDIRECT("変更履歴!AC3"),"")</f>
        <v/>
      </c>
      <c r="AD3" s="189" t="n"/>
      <c r="AE3" s="189" t="n"/>
      <c r="AF3" s="190" t="n"/>
      <c r="AG3" s="222">
        <f>IF(INDIRECT("変更履歴!AG3")&lt;&gt;"",INDIRECT("変更履歴!AG3"),"")</f>
        <v/>
      </c>
      <c r="AH3" s="189" t="n"/>
      <c r="AI3" s="190" t="n"/>
      <c r="AJ3" s="9" t="n"/>
      <c r="AK3" s="1" t="n"/>
      <c r="AL3" s="1" t="n"/>
      <c r="AM3" s="1" t="n"/>
      <c r="AN3" s="7" t="n"/>
      <c r="AO3" s="7" t="n"/>
      <c r="AP3" s="7" t="n"/>
      <c r="AQ3" s="7" t="n"/>
      <c r="AR3" s="7" t="n"/>
      <c r="AS3" s="225" t="n"/>
      <c r="AT3" s="225" t="n"/>
      <c r="AU3" s="225" t="n"/>
      <c r="AV3" s="225" t="n"/>
      <c r="AW3" s="225" t="n"/>
    </row>
    <row r="4" ht="12" customHeight="1"/>
    <row r="5" ht="12" customHeight="1">
      <c r="B5" s="39" t="inlineStr">
        <is>
          <t>3. 設計書とソースコードの対応</t>
        </is>
      </c>
    </row>
    <row r="6">
      <c r="C6" s="6" t="inlineStr">
        <is>
          <t>本章では、どの設計書を参照して業務アプリケーションを実装すればよいかをステレオタイプごとに説明する。</t>
        </is>
      </c>
    </row>
    <row r="7">
      <c r="C7" t="inlineStr">
        <is>
          <t>実装方法の詳細は https://nablarch.github.io/ の『Nablarchアプリケーションフレームワーク - 解説書』を参照すること。</t>
        </is>
      </c>
    </row>
    <row r="9">
      <c r="C9" s="6" t="inlineStr">
        <is>
          <t>3.1. Form/Entity</t>
        </is>
      </c>
    </row>
    <row r="10">
      <c r="D10" s="48" t="inlineStr">
        <is>
          <t>(1)</t>
        </is>
      </c>
      <c r="E10" s="6" t="inlineStr">
        <is>
          <t>Entityのプロパティ、アクセサメソッドの実装</t>
        </is>
      </c>
    </row>
    <row r="11">
      <c r="D11" s="48" t="n"/>
    </row>
    <row r="12">
      <c r="E12" s="6" t="inlineStr">
        <is>
          <t>・テーブル定義書を参照し、プロパティとアクセサメソッド(setter、getter)を実装する。</t>
        </is>
      </c>
    </row>
    <row r="13">
      <c r="E13" s="6" t="inlineStr">
        <is>
          <t>・テーブル共通項目のプロパティには、値を設定するためのアノテーションを付与する。</t>
        </is>
      </c>
    </row>
    <row r="31">
      <c r="D31" s="48" t="inlineStr">
        <is>
          <t>(2)</t>
        </is>
      </c>
      <c r="E31" s="6" t="inlineStr">
        <is>
          <t>Formのプロパティ、アクセサメソッドの実装</t>
        </is>
      </c>
    </row>
    <row r="32">
      <c r="D32" s="48" t="n"/>
    </row>
    <row r="33">
      <c r="E33" s="6" t="inlineStr">
        <is>
          <t>・システム機能設計書を参照し、プロパティとアクセサメソッド(setter、getter)を実装する。</t>
        </is>
      </c>
    </row>
    <row r="34">
      <c r="E34" s="6" t="inlineStr">
        <is>
          <t>・システム機能設計書とドメイン定義書を参照し、setterにバリデーションのアノテーションを付与する。</t>
        </is>
      </c>
    </row>
    <row r="49">
      <c r="D49" s="48" t="inlineStr">
        <is>
          <t>(3)</t>
        </is>
      </c>
      <c r="E49" s="6" t="inlineStr">
        <is>
          <t>各画面用バリデーションメソッドの実装</t>
        </is>
      </c>
    </row>
    <row r="50">
      <c r="D50" s="48" t="n"/>
    </row>
    <row r="51">
      <c r="E51" s="6" t="inlineStr">
        <is>
          <t>Nablarch Validationを使用する場合は、システム機能設計書の項目定義のバリデーション仕様を参照し、</t>
        </is>
      </c>
    </row>
    <row r="52">
      <c r="E52" s="6" t="inlineStr">
        <is>
          <t>各画面用バリデーションメソッド(validateForXXX)を実装する。</t>
        </is>
      </c>
    </row>
    <row r="53">
      <c r="E53" s="6" t="inlineStr">
        <is>
          <t>Bean Validationを使用する場合は、Formのプロパティに当該項目のドメインに対応したアノテーションを指定する。</t>
        </is>
      </c>
    </row>
    <row r="69">
      <c r="C69" s="6" t="inlineStr">
        <is>
          <t>3.2. 共通コンポーネント</t>
        </is>
      </c>
    </row>
    <row r="70">
      <c r="D70" s="48" t="inlineStr">
        <is>
          <t>(1)</t>
        </is>
      </c>
      <c r="E70" s="6" t="inlineStr">
        <is>
          <t>共通コンポーネントの実装</t>
        </is>
      </c>
    </row>
    <row r="71">
      <c r="D71" s="48" t="n"/>
    </row>
    <row r="72">
      <c r="E72" s="6" t="inlineStr">
        <is>
          <t>共通コンポーネント定義書を参照して共通コンポーネントを実装する。</t>
        </is>
      </c>
    </row>
    <row r="88">
      <c r="C88" s="6" t="inlineStr">
        <is>
          <t>3.3. 共通コンポーネント</t>
        </is>
      </c>
    </row>
    <row r="89">
      <c r="D89" s="6" t="inlineStr">
        <is>
          <t>(1)</t>
        </is>
      </c>
      <c r="E89" s="6" t="inlineStr">
        <is>
          <t>Actionの実装(画面の場合)</t>
        </is>
      </c>
    </row>
    <row r="91">
      <c r="E91" s="6" t="inlineStr">
        <is>
          <t>システム機能設計書、方式設計書を参照してActionを実装する。</t>
        </is>
      </c>
    </row>
    <row r="108">
      <c r="C108" s="6" t="inlineStr">
        <is>
          <t>3.4. JSP</t>
        </is>
      </c>
    </row>
    <row r="109">
      <c r="D109" s="48" t="inlineStr">
        <is>
          <t>(1)</t>
        </is>
      </c>
      <c r="E109" s="6" t="inlineStr">
        <is>
          <t>JSPの実装</t>
        </is>
      </c>
    </row>
    <row r="110">
      <c r="D110" s="48" t="n"/>
    </row>
    <row r="111">
      <c r="E111" t="inlineStr">
        <is>
          <t>システム機能設計書を参照してJSPを実装する。</t>
        </is>
      </c>
    </row>
    <row r="112">
      <c r="E112" t="inlineStr">
        <is>
          <t>遷移先のリクエストIDについては、リクエスト一覧を参照する。</t>
        </is>
      </c>
    </row>
  </sheetData>
  <mergeCells count="17">
    <mergeCell ref="A1:D1"/>
    <mergeCell ref="AG2:AI2"/>
    <mergeCell ref="AA3:AB3"/>
    <mergeCell ref="AG1:AI1"/>
    <mergeCell ref="AA2:AB2"/>
    <mergeCell ref="AC3:AF3"/>
    <mergeCell ref="S1:Z3"/>
    <mergeCell ref="A3:D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2" manualBreakCount="2">
    <brk id="48" min="0" max="34" man="1"/>
    <brk id="87" min="0" max="34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2017-03-23T01:32:56Z</dcterms:created>
  <dcterms:modified xmlns:dcterms="http://purl.org/dc/terms/" xmlns:xsi="http://www.w3.org/2001/XMLSchema-instance" xsi:type="dcterms:W3CDTF">2026-07-03T08:56:09Z</dcterms:modified>
</cp:coreProperties>
</file>