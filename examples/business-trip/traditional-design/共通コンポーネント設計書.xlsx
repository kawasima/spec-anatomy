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30" yWindow="-15" windowWidth="17550" windowHeight="12405" tabRatio="822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変更履歴" sheetId="2" state="visible" r:id="rId2"/>
    <sheet xmlns:r="http://schemas.openxmlformats.org/officeDocument/2006/relationships" name="目次" sheetId="3" state="visible" r:id="rId3"/>
    <sheet xmlns:r="http://schemas.openxmlformats.org/officeDocument/2006/relationships" name="1. 事前承認要否判定" sheetId="4" state="visible" r:id="rId4"/>
    <sheet xmlns:r="http://schemas.openxmlformats.org/officeDocument/2006/relationships" name="2. 精算額計算" sheetId="5" state="visible" r:id="rId5"/>
    <sheet xmlns:r="http://schemas.openxmlformats.org/officeDocument/2006/relationships" name="3. 経理連携データ作成" sheetId="6" state="visible" r:id="rId6"/>
    <sheet xmlns:r="http://schemas.openxmlformats.org/officeDocument/2006/relationships" name="4. 申請ID採番" sheetId="7" state="visible" r:id="rId7"/>
  </sheets>
  <definedNames>
    <definedName name="_xlnm.Print_Area" localSheetId="0">'表紙'!$A$1:$S$39</definedName>
    <definedName name="_xlnm.Print_Titles" localSheetId="1">'変更履歴'!$1:$4</definedName>
    <definedName name="_xlnm.Print_Area" localSheetId="1">'変更履歴'!$A$1:$AI$39</definedName>
    <definedName name="_xlnm.Print_Titles" localSheetId="2">'目次'!$1:$4</definedName>
    <definedName name="_xlnm.Print_Area" localSheetId="2">'目次'!$A$1:$AI$36</definedName>
    <definedName name="_xlnm.Print_Titles" localSheetId="3">'1. 事前承認要否判定'!$1:$4</definedName>
    <definedName name="_xlnm.Print_Area" localSheetId="3">'1. 事前承認要否判定'!$A$1:$AI$35</definedName>
    <definedName name="_xlnm.Print_Area" localSheetId="4">'2. 精算額計算'!$A$1:$AI$32</definedName>
    <definedName name="_xlnm.Print_Area" localSheetId="5">'3. 経理連携データ作成'!$A$1:$AI$35</definedName>
    <definedName name="_xlnm.Print_Area" localSheetId="6">'4. 申請ID採番'!$A$1:$AI$34</definedName>
  </definedNames>
  <calcPr calcId="145621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0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Ｐゴシック"/>
      <charset val="128"/>
      <family val="3"/>
      <sz val="6"/>
    </font>
    <font>
      <name val="ＭＳ 明朝"/>
      <charset val="128"/>
      <family val="1"/>
      <color theme="1"/>
      <sz val="9"/>
    </font>
    <font>
      <name val="ＭＳ ゴシック"/>
      <charset val="128"/>
      <family val="3"/>
      <sz val="10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46592608417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7" fillId="0" borderId="0" applyAlignment="1" applyProtection="1">
      <alignment vertical="top"/>
      <protection locked="0" hidden="0"/>
    </xf>
    <xf numFmtId="9" fontId="1" fillId="0" borderId="0"/>
  </cellStyleXfs>
  <cellXfs count="26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7" fillId="0" borderId="0" pivotButton="0" quotePrefix="0" xfId="0"/>
    <xf numFmtId="0" fontId="1" fillId="0" borderId="0" applyAlignment="1" pivotButton="0" quotePrefix="0" xfId="1">
      <alignment vertical="top"/>
    </xf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5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1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17" applyAlignment="1" pivotButton="0" quotePrefix="0" xfId="0">
      <alignment horizontal="center" vertical="center"/>
    </xf>
    <xf numFmtId="0" fontId="1" fillId="0" borderId="0" applyAlignment="1" pivotButton="0" quotePrefix="0" xfId="1">
      <alignment horizontal="left" vertic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1">
      <alignment horizontal="center"/>
    </xf>
    <xf numFmtId="0" fontId="12" fillId="0" borderId="0" applyAlignment="1" pivotButton="0" quotePrefix="0" xfId="4">
      <alignment horizontal="center"/>
    </xf>
    <xf numFmtId="0" fontId="9" fillId="0" borderId="0" pivotButton="0" quotePrefix="0" xfId="0"/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8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pivotButton="0" quotePrefix="1" xfId="0"/>
    <xf numFmtId="0" fontId="16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pivotButton="0" quotePrefix="1" xfId="0"/>
    <xf numFmtId="0" fontId="16" fillId="0" borderId="0" pivotButton="0" quotePrefix="0" xfId="0"/>
    <xf numFmtId="0" fontId="16" fillId="0" borderId="0" pivotButton="0" quotePrefix="0" xfId="0"/>
    <xf numFmtId="0" fontId="1" fillId="0" borderId="0" pivotButton="0" quotePrefix="0" xfId="5"/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right"/>
    </xf>
    <xf numFmtId="0" fontId="16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18" fillId="0" borderId="0" pivotButton="0" quotePrefix="0" xfId="0"/>
    <xf numFmtId="0" fontId="9" fillId="0" borderId="0" applyAlignment="1" pivotButton="0" quotePrefix="0" xfId="0">
      <alignment horizontal="left"/>
    </xf>
    <xf numFmtId="0" fontId="19" fillId="0" borderId="0" applyAlignment="1" pivotButton="0" quotePrefix="1" xfId="0">
      <alignment horizontal="right"/>
    </xf>
    <xf numFmtId="0" fontId="18" fillId="0" borderId="0" applyAlignment="1" pivotButton="0" quotePrefix="0" xfId="0">
      <alignment horizontal="left"/>
    </xf>
    <xf numFmtId="0" fontId="1" fillId="0" borderId="0" applyAlignment="1" pivotButton="0" quotePrefix="0" xfId="5">
      <alignment horizontal="left"/>
    </xf>
    <xf numFmtId="0" fontId="16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5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1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19" fillId="0" borderId="0" applyAlignment="1" pivotButton="0" quotePrefix="1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16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1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11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8" applyAlignment="1" pivotButton="0" quotePrefix="0" xfId="0">
      <alignment horizontal="left" vertical="top"/>
    </xf>
    <xf numFmtId="0" fontId="1" fillId="0" borderId="9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1" fillId="0" borderId="13" applyAlignment="1" pivotButton="0" quotePrefix="0" xfId="0">
      <alignment horizontal="right" vertical="top"/>
    </xf>
    <xf numFmtId="0" fontId="1" fillId="0" borderId="12" applyAlignment="1" pivotButton="0" quotePrefix="0" xfId="0">
      <alignment horizontal="right" vertical="top"/>
    </xf>
    <xf numFmtId="0" fontId="1" fillId="0" borderId="1" applyAlignment="1" pivotButton="0" quotePrefix="0" xfId="0">
      <alignment horizontal="center" vertical="center"/>
    </xf>
    <xf numFmtId="0" fontId="1" fillId="3" borderId="12" applyAlignment="1" pivotButton="0" quotePrefix="0" xfId="0">
      <alignment horizontal="left" vertical="top"/>
    </xf>
    <xf numFmtId="31" fontId="8" fillId="0" borderId="0" applyAlignment="1" pivotButton="0" quotePrefix="1" xfId="0">
      <alignment horizontal="center" vertical="center"/>
    </xf>
    <xf numFmtId="165" fontId="1" fillId="0" borderId="1" applyAlignment="1" pivotButton="0" quotePrefix="0" xfId="4">
      <alignment horizontal="right" vertical="top"/>
    </xf>
    <xf numFmtId="165" fontId="1" fillId="0" borderId="2" applyAlignment="1" pivotButton="0" quotePrefix="0" xfId="4">
      <alignment horizontal="right" vertical="top"/>
    </xf>
    <xf numFmtId="165" fontId="1" fillId="0" borderId="3" applyAlignment="1" pivotButton="0" quotePrefix="0" xfId="4">
      <alignment horizontal="right" vertical="top"/>
    </xf>
    <xf numFmtId="0" fontId="1" fillId="0" borderId="4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0" fontId="0" fillId="2" borderId="1" applyAlignment="1" pivotButton="0" quotePrefix="0" xfId="1">
      <alignment horizontal="left" vertical="top"/>
    </xf>
    <xf numFmtId="0" fontId="1" fillId="2" borderId="4" applyAlignment="1" pivotButton="0" quotePrefix="0" xfId="1">
      <alignment horizontal="left" vertical="top"/>
    </xf>
    <xf numFmtId="0" fontId="1" fillId="2" borderId="5" applyAlignment="1" pivotButton="0" quotePrefix="0" xfId="1">
      <alignment horizontal="left" vertical="top"/>
    </xf>
    <xf numFmtId="0" fontId="1" fillId="2" borderId="6" applyAlignment="1" pivotButton="0" quotePrefix="0" xfId="1">
      <alignment horizontal="left" vertical="top"/>
    </xf>
    <xf numFmtId="0" fontId="1" fillId="2" borderId="10" applyAlignment="1" pivotButton="0" quotePrefix="0" xfId="1">
      <alignment horizontal="left" vertical="top"/>
    </xf>
    <xf numFmtId="0" fontId="1" fillId="2" borderId="0" applyAlignment="1" pivotButton="0" quotePrefix="0" xfId="1">
      <alignment horizontal="left" vertical="top"/>
    </xf>
    <xf numFmtId="0" fontId="1" fillId="2" borderId="11" applyAlignment="1" pivotButton="0" quotePrefix="0" xfId="1">
      <alignment horizontal="left" vertical="top"/>
    </xf>
    <xf numFmtId="0" fontId="1" fillId="2" borderId="7" applyAlignment="1" pivotButton="0" quotePrefix="0" xfId="1">
      <alignment horizontal="left" vertical="top"/>
    </xf>
    <xf numFmtId="0" fontId="1" fillId="2" borderId="8" applyAlignment="1" pivotButton="0" quotePrefix="0" xfId="1">
      <alignment horizontal="left" vertical="top"/>
    </xf>
    <xf numFmtId="0" fontId="1" fillId="2" borderId="9" applyAlignment="1" pivotButton="0" quotePrefix="0" xfId="1">
      <alignment horizontal="left" vertical="top"/>
    </xf>
    <xf numFmtId="0" fontId="1" fillId="0" borderId="4" applyAlignment="1" pivotButton="0" quotePrefix="0" xfId="1">
      <alignment horizontal="left" vertical="top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0" fontId="1" fillId="0" borderId="10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11" applyAlignment="1" pivotButton="0" quotePrefix="0" xfId="1">
      <alignment horizontal="left" vertical="top"/>
    </xf>
    <xf numFmtId="0" fontId="1" fillId="0" borderId="7" applyAlignment="1" pivotButton="0" quotePrefix="0" xfId="1">
      <alignment horizontal="left" vertical="top"/>
    </xf>
    <xf numFmtId="0" fontId="1" fillId="0" borderId="8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top"/>
    </xf>
    <xf numFmtId="14" fontId="1" fillId="0" borderId="1" applyAlignment="1" pivotButton="0" quotePrefix="0" xfId="0">
      <alignment horizontal="center" vertical="top"/>
    </xf>
    <xf numFmtId="14" fontId="1" fillId="0" borderId="2" applyAlignment="1" pivotButton="0" quotePrefix="0" xfId="0">
      <alignment horizontal="center" vertical="top"/>
    </xf>
    <xf numFmtId="14" fontId="1" fillId="0" borderId="3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14" applyAlignment="1" pivotButton="0" quotePrefix="0" xfId="0">
      <alignment horizontal="center" vertical="top"/>
    </xf>
    <xf numFmtId="0" fontId="1" fillId="0" borderId="15" applyAlignment="1" pivotButton="0" quotePrefix="0" xfId="0">
      <alignment horizontal="center" vertical="top"/>
    </xf>
    <xf numFmtId="14" fontId="1" fillId="0" borderId="14" applyAlignment="1" pivotButton="0" quotePrefix="1" xfId="0">
      <alignment horizontal="center" vertical="top"/>
    </xf>
    <xf numFmtId="14" fontId="1" fillId="0" borderId="16" applyAlignment="1" pivotButton="0" quotePrefix="1" xfId="0">
      <alignment horizontal="center" vertical="top"/>
    </xf>
    <xf numFmtId="14" fontId="1" fillId="0" borderId="15" applyAlignment="1" pivotButton="0" quotePrefix="1" xfId="0">
      <alignment horizontal="center" vertical="top"/>
    </xf>
    <xf numFmtId="14" fontId="1" fillId="0" borderId="14" applyAlignment="1" pivotButton="0" quotePrefix="0" xfId="0">
      <alignment horizontal="center" vertical="top"/>
    </xf>
    <xf numFmtId="0" fontId="1" fillId="0" borderId="16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/>
    </xf>
    <xf numFmtId="0" fontId="1" fillId="0" borderId="16" applyAlignment="1" pivotButton="0" quotePrefix="0" xfId="0">
      <alignment horizontal="left" vertical="top"/>
    </xf>
    <xf numFmtId="0" fontId="1" fillId="0" borderId="15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 wrapText="1"/>
    </xf>
    <xf numFmtId="0" fontId="1" fillId="0" borderId="16" applyAlignment="1" pivotButton="0" quotePrefix="0" xfId="0">
      <alignment horizontal="left" vertical="top" wrapText="1"/>
    </xf>
    <xf numFmtId="0" fontId="1" fillId="0" borderId="15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3" borderId="1" applyAlignment="1" pivotButton="0" quotePrefix="0" xfId="1">
      <alignment horizontal="left" vertical="top"/>
    </xf>
    <xf numFmtId="0" fontId="1" fillId="3" borderId="3" applyAlignment="1" pivotButton="0" quotePrefix="0" xfId="1">
      <alignment horizontal="left" vertical="top"/>
    </xf>
    <xf numFmtId="0" fontId="1" fillId="3" borderId="2" applyAlignment="1" pivotButton="0" quotePrefix="0" xfId="1">
      <alignment horizontal="left" vertical="top"/>
    </xf>
    <xf numFmtId="0" fontId="1" fillId="3" borderId="4" applyAlignment="1" pivotButton="0" quotePrefix="0" xfId="1">
      <alignment horizontal="left" vertical="top"/>
    </xf>
    <xf numFmtId="0" fontId="1" fillId="3" borderId="5" applyAlignment="1" pivotButton="0" quotePrefix="0" xfId="1">
      <alignment horizontal="left" vertical="top"/>
    </xf>
    <xf numFmtId="0" fontId="1" fillId="3" borderId="6" applyAlignment="1" pivotButton="0" quotePrefix="0" xfId="1">
      <alignment horizontal="left" vertical="top"/>
    </xf>
    <xf numFmtId="0" fontId="1" fillId="3" borderId="10" applyAlignment="1" pivotButton="0" quotePrefix="0" xfId="1">
      <alignment horizontal="left" vertical="top"/>
    </xf>
    <xf numFmtId="0" fontId="1" fillId="3" borderId="0" applyAlignment="1" pivotButton="0" quotePrefix="0" xfId="1">
      <alignment horizontal="left" vertical="top"/>
    </xf>
    <xf numFmtId="0" fontId="1" fillId="3" borderId="11" applyAlignment="1" pivotButton="0" quotePrefix="0" xfId="1">
      <alignment horizontal="left" vertical="top"/>
    </xf>
    <xf numFmtId="0" fontId="1" fillId="3" borderId="7" applyAlignment="1" pivotButton="0" quotePrefix="0" xfId="1">
      <alignment horizontal="left" vertical="top"/>
    </xf>
    <xf numFmtId="0" fontId="1" fillId="3" borderId="8" applyAlignment="1" pivotButton="0" quotePrefix="0" xfId="1">
      <alignment horizontal="left" vertical="top"/>
    </xf>
    <xf numFmtId="0" fontId="1" fillId="3" borderId="9" applyAlignment="1" pivotButton="0" quotePrefix="0" xfId="1">
      <alignment horizontal="left" vertical="top"/>
    </xf>
    <xf numFmtId="0" fontId="1" fillId="3" borderId="1" applyAlignment="1" pivotButton="0" quotePrefix="0" xfId="0">
      <alignment horizontal="left" vertical="top"/>
    </xf>
    <xf numFmtId="0" fontId="1" fillId="3" borderId="2" applyAlignment="1" pivotButton="0" quotePrefix="0" xfId="0">
      <alignment horizontal="left" vertical="top"/>
    </xf>
    <xf numFmtId="0" fontId="1" fillId="3" borderId="3" applyAlignment="1" pivotButton="0" quotePrefix="0" xfId="0">
      <alignment horizontal="left" vertical="top"/>
    </xf>
    <xf numFmtId="0" fontId="14" fillId="3" borderId="4" applyAlignment="1" pivotButton="0" quotePrefix="0" xfId="1">
      <alignment horizontal="left" vertical="top"/>
    </xf>
    <xf numFmtId="0" fontId="14" fillId="3" borderId="5" applyAlignment="1" pivotButton="0" quotePrefix="0" xfId="1">
      <alignment horizontal="left" vertical="top"/>
    </xf>
    <xf numFmtId="0" fontId="14" fillId="3" borderId="6" applyAlignment="1" pivotButton="0" quotePrefix="0" xfId="1">
      <alignment horizontal="left" vertical="top"/>
    </xf>
    <xf numFmtId="0" fontId="14" fillId="3" borderId="10" applyAlignment="1" pivotButton="0" quotePrefix="0" xfId="1">
      <alignment horizontal="left" vertical="top"/>
    </xf>
    <xf numFmtId="0" fontId="14" fillId="3" borderId="0" applyAlignment="1" pivotButton="0" quotePrefix="0" xfId="1">
      <alignment horizontal="left" vertical="top"/>
    </xf>
    <xf numFmtId="0" fontId="14" fillId="3" borderId="11" applyAlignment="1" pivotButton="0" quotePrefix="0" xfId="1">
      <alignment horizontal="left" vertical="top"/>
    </xf>
    <xf numFmtId="0" fontId="14" fillId="3" borderId="7" applyAlignment="1" pivotButton="0" quotePrefix="0" xfId="1">
      <alignment horizontal="left" vertical="top"/>
    </xf>
    <xf numFmtId="0" fontId="14" fillId="3" borderId="8" applyAlignment="1" pivotButton="0" quotePrefix="0" xfId="1">
      <alignment horizontal="left" vertical="top"/>
    </xf>
    <xf numFmtId="0" fontId="14" fillId="3" borderId="9" applyAlignment="1" pivotButton="0" quotePrefix="0" xfId="1">
      <alignment horizontal="left" vertical="top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10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11" applyAlignment="1" pivotButton="0" quotePrefix="0" xfId="1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8" applyAlignment="1" pivotButton="0" quotePrefix="0" xfId="1">
      <alignment horizontal="left" vertical="top" wrapText="1"/>
    </xf>
    <xf numFmtId="0" fontId="1" fillId="0" borderId="9" applyAlignment="1" pivotButton="0" quotePrefix="0" xfId="1">
      <alignment horizontal="left" vertical="top" wrapText="1"/>
    </xf>
    <xf numFmtId="0" fontId="1" fillId="3" borderId="1" applyAlignment="1" pivotButton="0" quotePrefix="0" xfId="0">
      <alignment horizontal="left" vertical="top"/>
    </xf>
    <xf numFmtId="0" fontId="1" fillId="3" borderId="2" applyAlignment="1" pivotButton="0" quotePrefix="0" xfId="0">
      <alignment horizontal="left" vertical="top"/>
    </xf>
    <xf numFmtId="0" fontId="1" fillId="3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1" fillId="0" borderId="4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1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11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8" applyAlignment="1" pivotButton="0" quotePrefix="0" xfId="0">
      <alignment horizontal="left" vertical="top"/>
    </xf>
    <xf numFmtId="0" fontId="1" fillId="0" borderId="9" applyAlignment="1" pivotButton="0" quotePrefix="0" xfId="0">
      <alignment horizontal="left" vertical="top"/>
    </xf>
    <xf numFmtId="0" fontId="1" fillId="0" borderId="12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top" wrapText="1"/>
    </xf>
    <xf numFmtId="0" fontId="0" fillId="3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right" vertical="top" wrapText="1"/>
    </xf>
    <xf numFmtId="0" fontId="1" fillId="0" borderId="3" applyAlignment="1" pivotButton="0" quotePrefix="0" xfId="0">
      <alignment horizontal="right" vertical="top" wrapText="1"/>
    </xf>
    <xf numFmtId="0" fontId="1" fillId="3" borderId="1" applyAlignment="1" pivotButton="0" quotePrefix="0" xfId="0">
      <alignment horizontal="left" vertical="top" wrapText="1"/>
    </xf>
    <xf numFmtId="0" fontId="1" fillId="3" borderId="2" applyAlignment="1" pivotButton="0" quotePrefix="0" xfId="0">
      <alignment horizontal="left" vertical="top" wrapText="1"/>
    </xf>
    <xf numFmtId="0" fontId="1" fillId="3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/>
    </xf>
    <xf numFmtId="0" fontId="0" fillId="0" borderId="4" applyAlignment="1" pivotButton="0" quotePrefix="0" xfId="0">
      <alignment horizontal="right" vertical="top"/>
    </xf>
    <xf numFmtId="0" fontId="1" fillId="0" borderId="6" applyAlignment="1" pivotButton="0" quotePrefix="0" xfId="0">
      <alignment horizontal="right" vertical="top"/>
    </xf>
    <xf numFmtId="0" fontId="1" fillId="0" borderId="10" applyAlignment="1" pivotButton="0" quotePrefix="0" xfId="0">
      <alignment horizontal="right" vertical="top"/>
    </xf>
    <xf numFmtId="0" fontId="1" fillId="0" borderId="11" applyAlignment="1" pivotButton="0" quotePrefix="0" xfId="0">
      <alignment horizontal="right" vertical="top"/>
    </xf>
    <xf numFmtId="0" fontId="1" fillId="0" borderId="7" applyAlignment="1" pivotButton="0" quotePrefix="0" xfId="0">
      <alignment horizontal="right" vertical="top"/>
    </xf>
    <xf numFmtId="0" fontId="1" fillId="0" borderId="9" applyAlignment="1" pivotButton="0" quotePrefix="0" xfId="0">
      <alignment horizontal="right" vertical="top"/>
    </xf>
    <xf numFmtId="164" fontId="8" fillId="0" borderId="0" applyAlignment="1" pivotButton="0" quotePrefix="1" xfId="1">
      <alignment horizontal="center"/>
    </xf>
    <xf numFmtId="0" fontId="0" fillId="2" borderId="12" applyAlignment="1" pivotButton="0" quotePrefix="0" xfId="1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0" fontId="1" fillId="0" borderId="12" applyAlignment="1" pivotButton="0" quotePrefix="0" xfId="2">
      <alignment horizontal="left" vertical="top"/>
    </xf>
    <xf numFmtId="0" fontId="1" fillId="2" borderId="12" applyAlignment="1" pivotButton="0" quotePrefix="0" xfId="1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1" fillId="0" borderId="12" applyAlignment="1" pivotButton="0" quotePrefix="0" xfId="1">
      <alignment horizontal="left" vertical="top"/>
    </xf>
    <xf numFmtId="14" fontId="1" fillId="0" borderId="12" applyAlignment="1" pivotButton="0" quotePrefix="0" xfId="1">
      <alignment horizontal="left" vertical="top"/>
    </xf>
    <xf numFmtId="165" fontId="1" fillId="0" borderId="12" applyAlignment="1" pivotButton="0" quotePrefix="0" xfId="4">
      <alignment horizontal="right" vertical="top"/>
    </xf>
    <xf numFmtId="0" fontId="0" fillId="0" borderId="10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21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top"/>
    </xf>
    <xf numFmtId="0" fontId="0" fillId="0" borderId="15" pivotButton="0" quotePrefix="0" xfId="0"/>
    <xf numFmtId="14" fontId="1" fillId="0" borderId="18" applyAlignment="1" pivotButton="0" quotePrefix="1" xfId="0">
      <alignment horizontal="center" vertical="top"/>
    </xf>
    <xf numFmtId="0" fontId="0" fillId="0" borderId="16" pivotButton="0" quotePrefix="0" xfId="0"/>
    <xf numFmtId="14" fontId="1" fillId="0" borderId="18" applyAlignment="1" pivotButton="0" quotePrefix="0" xfId="0">
      <alignment horizontal="center" vertical="top"/>
    </xf>
    <xf numFmtId="0" fontId="1" fillId="0" borderId="18" applyAlignment="1" pivotButton="0" quotePrefix="0" xfId="0">
      <alignment horizontal="left" vertical="top"/>
    </xf>
    <xf numFmtId="0" fontId="1" fillId="0" borderId="18" applyAlignment="1" pivotButton="0" quotePrefix="0" xfId="0">
      <alignment horizontal="left" vertical="top" wrapText="1"/>
    </xf>
    <xf numFmtId="0" fontId="1" fillId="0" borderId="12" applyAlignment="1" pivotButton="0" quotePrefix="0" xfId="0">
      <alignment horizontal="center" vertical="top"/>
    </xf>
    <xf numFmtId="14" fontId="1" fillId="0" borderId="12" applyAlignment="1" pivotButton="0" quotePrefix="0" xfId="0">
      <alignment horizontal="center" vertical="top"/>
    </xf>
    <xf numFmtId="0" fontId="1" fillId="0" borderId="12" applyAlignment="1" pivotButton="0" quotePrefix="0" xfId="0">
      <alignment horizontal="left" vertical="top" wrapText="1"/>
    </xf>
    <xf numFmtId="0" fontId="1" fillId="3" borderId="12" applyAlignment="1" pivotButton="0" quotePrefix="0" xfId="1">
      <alignment horizontal="left" vertical="top"/>
    </xf>
    <xf numFmtId="165" fontId="1" fillId="0" borderId="12" applyAlignment="1" pivotButton="0" quotePrefix="0" xfId="0">
      <alignment horizontal="right" vertical="top"/>
    </xf>
    <xf numFmtId="0" fontId="14" fillId="3" borderId="12" applyAlignment="1" pivotButton="0" quotePrefix="0" xfId="1">
      <alignment horizontal="left" vertical="top"/>
    </xf>
    <xf numFmtId="0" fontId="1" fillId="0" borderId="12" applyAlignment="1" pivotButton="0" quotePrefix="0" xfId="1">
      <alignment horizontal="left" vertical="top" wrapText="1"/>
    </xf>
    <xf numFmtId="0" fontId="1" fillId="0" borderId="12" applyAlignment="1" pivotButton="0" quotePrefix="0" xfId="0">
      <alignment horizontal="center" vertical="center"/>
    </xf>
    <xf numFmtId="0" fontId="0" fillId="3" borderId="12" applyAlignment="1" pivotButton="0" quotePrefix="0" xfId="0">
      <alignment horizontal="left" vertical="top" wrapText="1"/>
    </xf>
    <xf numFmtId="0" fontId="1" fillId="0" borderId="12" applyAlignment="1" pivotButton="0" quotePrefix="0" xfId="0">
      <alignment horizontal="right" vertical="top" wrapText="1"/>
    </xf>
    <xf numFmtId="0" fontId="1" fillId="3" borderId="12" applyAlignment="1" pivotButton="0" quotePrefix="0" xfId="0">
      <alignment horizontal="left" vertical="top" wrapText="1"/>
    </xf>
    <xf numFmtId="0" fontId="1" fillId="0" borderId="21" applyAlignment="1" pivotButton="0" quotePrefix="0" xfId="0">
      <alignment horizontal="left" vertical="top"/>
    </xf>
    <xf numFmtId="0" fontId="0" fillId="0" borderId="21" applyAlignment="1" pivotButton="0" quotePrefix="0" xfId="0">
      <alignment horizontal="right" vertical="top"/>
    </xf>
    <xf numFmtId="0" fontId="1" fillId="0" borderId="22" applyAlignment="1" pivotButton="0" quotePrefix="0" xfId="0">
      <alignment horizontal="left" vertical="top"/>
    </xf>
    <xf numFmtId="0" fontId="1" fillId="0" borderId="22" applyAlignment="1" pivotButton="0" quotePrefix="0" xfId="0">
      <alignment horizontal="right" vertical="top"/>
    </xf>
    <xf numFmtId="0" fontId="1" fillId="0" borderId="13" applyAlignment="1" pivotButton="0" quotePrefix="0" xfId="0">
      <alignment horizontal="left" vertical="top"/>
    </xf>
  </cellXfs>
  <cellStyles count="7">
    <cellStyle name="標準" xfId="0" builtinId="0"/>
    <cellStyle name="標準_画面標準" xfId="1"/>
    <cellStyle name="標準_画面標準定義" xfId="2"/>
    <cellStyle name="標準 2" xfId="3"/>
    <cellStyle name="標準 2 2" xfId="4"/>
    <cellStyle name="ハイパーリンク" xfId="5" builtinId="8"/>
    <cellStyle name="パーセント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000" tIns="7200" rIns="18000" bIns="720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000" tIns="7200" rIns="18000" bIns="720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9"/>
  <sheetViews>
    <sheetView showGridLines="0" tabSelected="1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>
      <c r="B1" s="2" t="n"/>
      <c r="C1" s="3" t="n"/>
    </row>
    <row r="2" ht="19.5" customHeight="1">
      <c r="A2" s="4" t="n"/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>
      <c r="F22" s="5" t="n"/>
      <c r="H22" s="5" t="n"/>
    </row>
    <row r="23" ht="17.25" customHeight="1">
      <c r="F23" s="5" t="n"/>
      <c r="G23" s="5" t="n"/>
      <c r="H23" s="5" t="n"/>
      <c r="J23" s="223" t="inlineStr">
        <is>
          <t>第１．０版</t>
        </is>
      </c>
    </row>
    <row r="24" ht="13.5" customHeight="1">
      <c r="F24" s="5" t="n"/>
      <c r="G24" s="5" t="n"/>
      <c r="H24" s="5" t="n"/>
    </row>
    <row r="25" ht="18" customHeight="1">
      <c r="F25" s="5" t="n"/>
      <c r="G25" s="5" t="n"/>
      <c r="H25" s="5" t="n"/>
      <c r="I25" s="90">
        <f>IF(INDIRECT("変更履歴!D8")="","",MAX(INDIRECT("変更履歴!D8"):INDIRECT("変更履歴!F33")))</f>
        <v/>
      </c>
    </row>
    <row r="26" ht="13.5" customHeight="1">
      <c r="F26" s="5" t="n"/>
      <c r="G26" s="5" t="n"/>
      <c r="H26" s="5" t="n"/>
    </row>
    <row r="27" ht="13.5" customHeight="1">
      <c r="F27" s="5" t="n"/>
      <c r="G27" s="5" t="n"/>
      <c r="H27" s="5" t="n"/>
    </row>
    <row r="28" ht="13.5" customHeight="1">
      <c r="F28" s="6" t="n"/>
      <c r="G28" s="5" t="n"/>
      <c r="H28" s="5" t="n"/>
    </row>
    <row r="29" ht="15" customHeight="1">
      <c r="F29" s="5" t="n"/>
      <c r="H29" s="5" t="n"/>
    </row>
    <row r="30" ht="13.5" customHeight="1">
      <c r="F30" s="5" t="n"/>
      <c r="G30" s="12" t="n"/>
      <c r="H30" s="5" t="n"/>
    </row>
    <row r="31" ht="18.75" customHeight="1">
      <c r="F31" s="5" t="n"/>
      <c r="G31" s="12" t="n"/>
      <c r="H31" s="5" t="n"/>
    </row>
    <row r="32" ht="18.75" customHeight="1">
      <c r="F32" s="5" t="n"/>
      <c r="G32" s="12" t="n"/>
      <c r="H32" s="5" t="n"/>
      <c r="J32" s="35" t="inlineStr">
        <is>
          <t>[会社名]</t>
        </is>
      </c>
    </row>
    <row r="33" ht="18.75" customHeight="1">
      <c r="F33" s="5" t="n"/>
      <c r="H33" s="5" t="n"/>
      <c r="J33" s="7" t="n"/>
      <c r="L33" s="7" t="n"/>
      <c r="M33" s="39" t="n"/>
      <c r="N33" s="7" t="n"/>
      <c r="O33" s="7" t="n"/>
      <c r="P33" s="7" t="n"/>
    </row>
    <row r="34" ht="18.75" customHeight="1">
      <c r="F34" s="5" t="n"/>
      <c r="H34" s="5" t="n"/>
      <c r="J34" s="35" t="inlineStr">
        <is>
          <t>[部門名]</t>
        </is>
      </c>
      <c r="L34" s="7" t="n"/>
      <c r="M34" s="7" t="n"/>
      <c r="N34" s="7" t="n"/>
      <c r="O34" s="7" t="n"/>
      <c r="P34" s="7" t="n"/>
      <c r="Q34" s="30" t="n"/>
      <c r="R34" s="31" t="n"/>
      <c r="S34" s="31" t="n"/>
    </row>
    <row r="35" ht="13.5" customHeight="1">
      <c r="O35" s="7" t="n"/>
      <c r="P35" s="7" t="n"/>
      <c r="Q35" s="31" t="n"/>
      <c r="R35" s="31" t="n"/>
      <c r="S35" s="31" t="n"/>
    </row>
    <row r="36" ht="13.5" customHeight="1">
      <c r="O36" s="32" t="n"/>
      <c r="P36" s="31" t="n"/>
      <c r="Q36" s="32" t="n"/>
      <c r="R36" s="31" t="n"/>
      <c r="S36" s="32" t="n"/>
    </row>
    <row r="37" ht="13.5" customHeight="1">
      <c r="O37" s="33" t="n"/>
      <c r="P37" s="34" t="n"/>
      <c r="Q37" s="33" t="n"/>
      <c r="R37" s="34" t="n"/>
      <c r="S37" s="33" t="n"/>
    </row>
    <row r="38" ht="13.5" customHeight="1">
      <c r="O38" s="34" t="n"/>
      <c r="P38" s="34" t="n"/>
      <c r="Q38" s="34" t="n"/>
      <c r="R38" s="34" t="n"/>
      <c r="S38" s="34" t="n"/>
    </row>
    <row r="39" ht="13.5" customHeight="1">
      <c r="O39" s="34" t="n"/>
      <c r="P39" s="34" t="n"/>
      <c r="Q39" s="34" t="n"/>
      <c r="R39" s="34" t="n"/>
      <c r="S39" s="34" t="n"/>
    </row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N3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45" min="1" max="16384"/>
  </cols>
  <sheetData>
    <row r="1" ht="12" customFormat="1" customHeight="1" s="13">
      <c r="A1" s="224" t="inlineStr">
        <is>
          <t>PJ名</t>
        </is>
      </c>
      <c r="B1" s="225" t="n"/>
      <c r="C1" s="225" t="n"/>
      <c r="D1" s="226" t="n"/>
      <c r="E1" s="227" t="inlineStr">
        <is>
          <t>出張旅費システム構築</t>
        </is>
      </c>
      <c r="F1" s="225" t="n"/>
      <c r="G1" s="225" t="n"/>
      <c r="H1" s="225" t="n"/>
      <c r="I1" s="225" t="n"/>
      <c r="J1" s="225" t="n"/>
      <c r="K1" s="225" t="n"/>
      <c r="L1" s="225" t="n"/>
      <c r="M1" s="225" t="n"/>
      <c r="N1" s="226" t="n"/>
      <c r="O1" s="228" t="inlineStr">
        <is>
          <t>成果物名</t>
        </is>
      </c>
      <c r="P1" s="229" t="n"/>
      <c r="Q1" s="229" t="n"/>
      <c r="R1" s="230" t="n"/>
      <c r="S1" s="231" t="inlineStr">
        <is>
          <t>共通コンポーネント設計書</t>
        </is>
      </c>
      <c r="T1" s="229" t="n"/>
      <c r="U1" s="229" t="n"/>
      <c r="V1" s="229" t="n"/>
      <c r="W1" s="229" t="n"/>
      <c r="X1" s="229" t="n"/>
      <c r="Y1" s="229" t="n"/>
      <c r="Z1" s="230" t="n"/>
      <c r="AA1" s="228" t="inlineStr">
        <is>
          <t>作成</t>
        </is>
      </c>
      <c r="AB1" s="226" t="n"/>
      <c r="AC1" s="232">
        <f>IF(AF8="","",AF8)</f>
        <v/>
      </c>
      <c r="AD1" s="225" t="n"/>
      <c r="AE1" s="225" t="n"/>
      <c r="AF1" s="226" t="n"/>
      <c r="AG1" s="233">
        <f>IF(D8="","",D8)</f>
        <v/>
      </c>
      <c r="AH1" s="225" t="n"/>
      <c r="AI1" s="226" t="n"/>
      <c r="AJ1" s="9" t="n"/>
      <c r="AK1" s="9" t="n"/>
      <c r="AL1" s="9" t="n"/>
      <c r="AM1" s="9" t="n"/>
      <c r="AN1" s="10" t="n"/>
    </row>
    <row r="2" ht="12" customFormat="1" customHeight="1" s="13">
      <c r="A2" s="228" t="inlineStr">
        <is>
          <t>システム名</t>
        </is>
      </c>
      <c r="B2" s="225" t="n"/>
      <c r="C2" s="225" t="n"/>
      <c r="D2" s="226" t="n"/>
      <c r="E2" s="227" t="inlineStr">
        <is>
          <t>出張旅費システム</t>
        </is>
      </c>
      <c r="F2" s="225" t="n"/>
      <c r="G2" s="225" t="n"/>
      <c r="H2" s="225" t="n"/>
      <c r="I2" s="225" t="n"/>
      <c r="J2" s="225" t="n"/>
      <c r="K2" s="225" t="n"/>
      <c r="L2" s="225" t="n"/>
      <c r="M2" s="225" t="n"/>
      <c r="N2" s="226" t="n"/>
      <c r="O2" s="234" t="n"/>
      <c r="R2" s="235" t="n"/>
      <c r="S2" s="234" t="n"/>
      <c r="Z2" s="235" t="n"/>
      <c r="AA2" s="228" t="inlineStr">
        <is>
          <t>変更</t>
        </is>
      </c>
      <c r="AB2" s="226" t="n"/>
      <c r="AC2" s="231">
        <f>IF(COUNTA(AF9:AF33)&lt;&gt;0,INDIRECT("AF"&amp;(COUNTA(AF9:AF33)+8)),"")</f>
        <v/>
      </c>
      <c r="AD2" s="225" t="n"/>
      <c r="AE2" s="225" t="n"/>
      <c r="AF2" s="226" t="n"/>
      <c r="AG2" s="233">
        <f>IF(D9="","",MAX(D9:F33))</f>
        <v/>
      </c>
      <c r="AH2" s="225" t="n"/>
      <c r="AI2" s="226" t="n"/>
      <c r="AJ2" s="9" t="n"/>
      <c r="AK2" s="9" t="n"/>
      <c r="AL2" s="9" t="n"/>
      <c r="AM2" s="9" t="n"/>
      <c r="AN2" s="9" t="n"/>
    </row>
    <row r="3" ht="12" customFormat="1" customHeight="1" s="13">
      <c r="A3" s="228" t="inlineStr">
        <is>
          <t>サブシステム名</t>
        </is>
      </c>
      <c r="B3" s="225" t="n"/>
      <c r="C3" s="225" t="n"/>
      <c r="D3" s="226" t="n"/>
      <c r="E3" s="227" t="inlineStr">
        <is>
          <t>出張申請</t>
        </is>
      </c>
      <c r="F3" s="225" t="n"/>
      <c r="G3" s="225" t="n"/>
      <c r="H3" s="225" t="n"/>
      <c r="I3" s="225" t="n"/>
      <c r="J3" s="225" t="n"/>
      <c r="K3" s="225" t="n"/>
      <c r="L3" s="225" t="n"/>
      <c r="M3" s="225" t="n"/>
      <c r="N3" s="226" t="n"/>
      <c r="O3" s="236" t="n"/>
      <c r="P3" s="237" t="n"/>
      <c r="Q3" s="237" t="n"/>
      <c r="R3" s="238" t="n"/>
      <c r="S3" s="236" t="n"/>
      <c r="T3" s="237" t="n"/>
      <c r="U3" s="237" t="n"/>
      <c r="V3" s="237" t="n"/>
      <c r="W3" s="237" t="n"/>
      <c r="X3" s="237" t="n"/>
      <c r="Y3" s="237" t="n"/>
      <c r="Z3" s="238" t="n"/>
      <c r="AA3" s="228" t="n"/>
      <c r="AB3" s="226" t="n"/>
      <c r="AC3" s="232" t="n"/>
      <c r="AD3" s="225" t="n"/>
      <c r="AE3" s="225" t="n"/>
      <c r="AF3" s="226" t="n"/>
      <c r="AG3" s="233" t="n"/>
      <c r="AH3" s="225" t="n"/>
      <c r="AI3" s="226" t="n"/>
      <c r="AJ3" s="9" t="n"/>
      <c r="AK3" s="9" t="n"/>
      <c r="AL3" s="9" t="n"/>
      <c r="AM3" s="9" t="n"/>
      <c r="AN3" s="9" t="n"/>
    </row>
    <row r="5" ht="22.5" customFormat="1" customHeight="1" s="13">
      <c r="N5" s="14" t="inlineStr">
        <is>
          <t>変更履歴（ 1　/ 1 ）</t>
        </is>
      </c>
      <c r="AA5" s="27" t="n"/>
      <c r="AB5" s="27" t="n"/>
      <c r="AC5" s="28" t="n"/>
      <c r="AD5" s="29" t="n"/>
      <c r="AE5" s="29" t="n"/>
      <c r="AF5" s="29" t="n"/>
      <c r="AG5" s="27" t="n"/>
      <c r="AH5" s="27" t="n"/>
      <c r="AI5" s="27" t="n"/>
    </row>
    <row r="6" ht="15" customFormat="1" customHeight="1" s="13">
      <c r="N6" s="14" t="n"/>
      <c r="AA6" s="27" t="n"/>
      <c r="AB6" s="27" t="n"/>
      <c r="AC6" s="28" t="n"/>
      <c r="AD6" s="29" t="n"/>
      <c r="AE6" s="29" t="n"/>
      <c r="AF6" s="29" t="n"/>
      <c r="AG6" s="27" t="n"/>
      <c r="AH6" s="27" t="n"/>
      <c r="AI6" s="27" t="n"/>
    </row>
    <row r="7" ht="15" customFormat="1" customHeight="1" s="26" thickBot="1">
      <c r="A7" s="25" t="inlineStr">
        <is>
          <t>No.</t>
        </is>
      </c>
      <c r="B7" s="239" t="inlineStr">
        <is>
          <t>版数</t>
        </is>
      </c>
      <c r="C7" s="230" t="n"/>
      <c r="D7" s="239" t="inlineStr">
        <is>
          <t>変更日</t>
        </is>
      </c>
      <c r="E7" s="229" t="n"/>
      <c r="F7" s="230" t="n"/>
      <c r="G7" s="239" t="inlineStr">
        <is>
          <t>区分</t>
        </is>
      </c>
      <c r="H7" s="229" t="n"/>
      <c r="I7" s="230" t="n"/>
      <c r="J7" s="240" t="inlineStr">
        <is>
          <t>変更箇所（項番等）</t>
        </is>
      </c>
      <c r="K7" s="229" t="n"/>
      <c r="L7" s="229" t="n"/>
      <c r="M7" s="229" t="n"/>
      <c r="N7" s="229" t="n"/>
      <c r="O7" s="229" t="n"/>
      <c r="P7" s="230" t="n"/>
      <c r="Q7" s="239" t="inlineStr">
        <is>
          <t>変更内容</t>
        </is>
      </c>
      <c r="R7" s="229" t="n"/>
      <c r="S7" s="229" t="n"/>
      <c r="T7" s="229" t="n"/>
      <c r="U7" s="229" t="n"/>
      <c r="V7" s="229" t="n"/>
      <c r="W7" s="229" t="n"/>
      <c r="X7" s="229" t="n"/>
      <c r="Y7" s="229" t="n"/>
      <c r="Z7" s="229" t="n"/>
      <c r="AA7" s="229" t="n"/>
      <c r="AB7" s="229" t="n"/>
      <c r="AC7" s="229" t="n"/>
      <c r="AD7" s="229" t="n"/>
      <c r="AE7" s="230" t="n"/>
      <c r="AF7" s="239" t="inlineStr">
        <is>
          <t>担当者</t>
        </is>
      </c>
      <c r="AG7" s="229" t="n"/>
      <c r="AH7" s="229" t="n"/>
      <c r="AI7" s="230" t="n"/>
    </row>
    <row r="8" ht="15" customFormat="1" customHeight="1" s="26" thickTop="1">
      <c r="A8" s="86" t="n">
        <v>1</v>
      </c>
      <c r="B8" s="241" t="inlineStr">
        <is>
          <t>1.00</t>
        </is>
      </c>
      <c r="C8" s="242" t="n"/>
      <c r="D8" s="243" t="inlineStr">
        <is>
          <t>2024-06-03</t>
        </is>
      </c>
      <c r="E8" s="244" t="n"/>
      <c r="F8" s="242" t="n"/>
      <c r="G8" s="245" t="inlineStr">
        <is>
          <t>新規</t>
        </is>
      </c>
      <c r="H8" s="244" t="n"/>
      <c r="I8" s="242" t="n"/>
      <c r="J8" s="246" t="inlineStr">
        <is>
          <t>-</t>
        </is>
      </c>
      <c r="K8" s="244" t="n"/>
      <c r="L8" s="244" t="n"/>
      <c r="M8" s="244" t="n"/>
      <c r="N8" s="244" t="n"/>
      <c r="O8" s="244" t="n"/>
      <c r="P8" s="242" t="n"/>
      <c r="Q8" s="247" t="inlineStr">
        <is>
          <t>初版作成</t>
        </is>
      </c>
      <c r="R8" s="244" t="n"/>
      <c r="S8" s="244" t="n"/>
      <c r="T8" s="244" t="n"/>
      <c r="U8" s="244" t="n"/>
      <c r="V8" s="244" t="n"/>
      <c r="W8" s="244" t="n"/>
      <c r="X8" s="244" t="n"/>
      <c r="Y8" s="244" t="n"/>
      <c r="Z8" s="244" t="n"/>
      <c r="AA8" s="244" t="n"/>
      <c r="AB8" s="244" t="n"/>
      <c r="AC8" s="244" t="n"/>
      <c r="AD8" s="244" t="n"/>
      <c r="AE8" s="242" t="n"/>
      <c r="AF8" s="246" t="inlineStr">
        <is>
          <t>アナトミアSI</t>
        </is>
      </c>
      <c r="AG8" s="244" t="n"/>
      <c r="AH8" s="244" t="n"/>
      <c r="AI8" s="242" t="n"/>
    </row>
    <row r="9" ht="15" customFormat="1" customHeight="1" s="26">
      <c r="A9" s="87" t="n">
        <v>2</v>
      </c>
      <c r="B9" s="248" t="inlineStr">
        <is>
          <t>1.01</t>
        </is>
      </c>
      <c r="C9" s="226" t="n"/>
      <c r="D9" s="249" t="inlineStr">
        <is>
          <t>2024-09-17</t>
        </is>
      </c>
      <c r="E9" s="225" t="n"/>
      <c r="F9" s="226" t="n"/>
      <c r="G9" s="249" t="inlineStr">
        <is>
          <t>修正</t>
        </is>
      </c>
      <c r="H9" s="225" t="n"/>
      <c r="I9" s="226" t="n"/>
      <c r="J9" s="206" t="inlineStr">
        <is>
          <t>-</t>
        </is>
      </c>
      <c r="K9" s="225" t="n"/>
      <c r="L9" s="225" t="n"/>
      <c r="M9" s="225" t="n"/>
      <c r="N9" s="225" t="n"/>
      <c r="O9" s="225" t="n"/>
      <c r="P9" s="226" t="n"/>
      <c r="Q9" s="250" t="inlineStr">
        <is>
          <t>レビュー指摘反映</t>
        </is>
      </c>
      <c r="R9" s="225" t="n"/>
      <c r="S9" s="225" t="n"/>
      <c r="T9" s="225" t="n"/>
      <c r="U9" s="225" t="n"/>
      <c r="V9" s="225" t="n"/>
      <c r="W9" s="225" t="n"/>
      <c r="X9" s="225" t="n"/>
      <c r="Y9" s="225" t="n"/>
      <c r="Z9" s="225" t="n"/>
      <c r="AA9" s="225" t="n"/>
      <c r="AB9" s="225" t="n"/>
      <c r="AC9" s="225" t="n"/>
      <c r="AD9" s="225" t="n"/>
      <c r="AE9" s="226" t="n"/>
      <c r="AF9" s="206" t="inlineStr">
        <is>
          <t>アナトミアSI</t>
        </is>
      </c>
      <c r="AG9" s="225" t="n"/>
      <c r="AH9" s="225" t="n"/>
      <c r="AI9" s="226" t="n"/>
    </row>
    <row r="10" ht="15" customFormat="1" customHeight="1" s="26">
      <c r="A10" s="87" t="n"/>
      <c r="B10" s="248" t="n"/>
      <c r="C10" s="226" t="n"/>
      <c r="D10" s="249" t="n"/>
      <c r="E10" s="225" t="n"/>
      <c r="F10" s="226" t="n"/>
      <c r="G10" s="248" t="n"/>
      <c r="H10" s="225" t="n"/>
      <c r="I10" s="226" t="n"/>
      <c r="J10" s="206" t="n"/>
      <c r="K10" s="225" t="n"/>
      <c r="L10" s="225" t="n"/>
      <c r="M10" s="225" t="n"/>
      <c r="N10" s="225" t="n"/>
      <c r="O10" s="225" t="n"/>
      <c r="P10" s="226" t="n"/>
      <c r="Q10" s="250" t="n"/>
      <c r="R10" s="225" t="n"/>
      <c r="S10" s="225" t="n"/>
      <c r="T10" s="225" t="n"/>
      <c r="U10" s="225" t="n"/>
      <c r="V10" s="225" t="n"/>
      <c r="W10" s="225" t="n"/>
      <c r="X10" s="225" t="n"/>
      <c r="Y10" s="225" t="n"/>
      <c r="Z10" s="225" t="n"/>
      <c r="AA10" s="225" t="n"/>
      <c r="AB10" s="225" t="n"/>
      <c r="AC10" s="225" t="n"/>
      <c r="AD10" s="225" t="n"/>
      <c r="AE10" s="226" t="n"/>
      <c r="AF10" s="206" t="n"/>
      <c r="AG10" s="225" t="n"/>
      <c r="AH10" s="225" t="n"/>
      <c r="AI10" s="226" t="n"/>
    </row>
    <row r="11" ht="15" customFormat="1" customHeight="1" s="26">
      <c r="A11" s="87" t="n"/>
      <c r="B11" s="248" t="n"/>
      <c r="C11" s="226" t="n"/>
      <c r="D11" s="249" t="n"/>
      <c r="E11" s="225" t="n"/>
      <c r="F11" s="226" t="n"/>
      <c r="G11" s="248" t="n"/>
      <c r="H11" s="225" t="n"/>
      <c r="I11" s="226" t="n"/>
      <c r="J11" s="206" t="n"/>
      <c r="K11" s="225" t="n"/>
      <c r="L11" s="225" t="n"/>
      <c r="M11" s="225" t="n"/>
      <c r="N11" s="225" t="n"/>
      <c r="O11" s="225" t="n"/>
      <c r="P11" s="226" t="n"/>
      <c r="Q11" s="250" t="n"/>
      <c r="R11" s="225" t="n"/>
      <c r="S11" s="225" t="n"/>
      <c r="T11" s="225" t="n"/>
      <c r="U11" s="225" t="n"/>
      <c r="V11" s="225" t="n"/>
      <c r="W11" s="225" t="n"/>
      <c r="X11" s="225" t="n"/>
      <c r="Y11" s="225" t="n"/>
      <c r="Z11" s="225" t="n"/>
      <c r="AA11" s="225" t="n"/>
      <c r="AB11" s="225" t="n"/>
      <c r="AC11" s="225" t="n"/>
      <c r="AD11" s="225" t="n"/>
      <c r="AE11" s="226" t="n"/>
      <c r="AF11" s="206" t="n"/>
      <c r="AG11" s="225" t="n"/>
      <c r="AH11" s="225" t="n"/>
      <c r="AI11" s="226" t="n"/>
    </row>
    <row r="12" ht="15" customFormat="1" customHeight="1" s="26">
      <c r="A12" s="87" t="n"/>
      <c r="B12" s="248" t="n"/>
      <c r="C12" s="226" t="n"/>
      <c r="D12" s="249" t="n"/>
      <c r="E12" s="225" t="n"/>
      <c r="F12" s="226" t="n"/>
      <c r="G12" s="248" t="n"/>
      <c r="H12" s="225" t="n"/>
      <c r="I12" s="226" t="n"/>
      <c r="J12" s="206" t="n"/>
      <c r="K12" s="225" t="n"/>
      <c r="L12" s="225" t="n"/>
      <c r="M12" s="225" t="n"/>
      <c r="N12" s="225" t="n"/>
      <c r="O12" s="225" t="n"/>
      <c r="P12" s="226" t="n"/>
      <c r="Q12" s="250" t="n"/>
      <c r="R12" s="225" t="n"/>
      <c r="S12" s="225" t="n"/>
      <c r="T12" s="225" t="n"/>
      <c r="U12" s="225" t="n"/>
      <c r="V12" s="225" t="n"/>
      <c r="W12" s="225" t="n"/>
      <c r="X12" s="225" t="n"/>
      <c r="Y12" s="225" t="n"/>
      <c r="Z12" s="225" t="n"/>
      <c r="AA12" s="225" t="n"/>
      <c r="AB12" s="225" t="n"/>
      <c r="AC12" s="225" t="n"/>
      <c r="AD12" s="225" t="n"/>
      <c r="AE12" s="226" t="n"/>
      <c r="AF12" s="206" t="n"/>
      <c r="AG12" s="225" t="n"/>
      <c r="AH12" s="225" t="n"/>
      <c r="AI12" s="226" t="n"/>
    </row>
    <row r="13" ht="15" customFormat="1" customHeight="1" s="26">
      <c r="A13" s="87" t="n"/>
      <c r="B13" s="248" t="n"/>
      <c r="C13" s="226" t="n"/>
      <c r="D13" s="249" t="n"/>
      <c r="E13" s="225" t="n"/>
      <c r="F13" s="226" t="n"/>
      <c r="G13" s="248" t="n"/>
      <c r="H13" s="225" t="n"/>
      <c r="I13" s="226" t="n"/>
      <c r="J13" s="206" t="n"/>
      <c r="K13" s="225" t="n"/>
      <c r="L13" s="225" t="n"/>
      <c r="M13" s="225" t="n"/>
      <c r="N13" s="225" t="n"/>
      <c r="O13" s="225" t="n"/>
      <c r="P13" s="226" t="n"/>
      <c r="Q13" s="250" t="n"/>
      <c r="R13" s="225" t="n"/>
      <c r="S13" s="225" t="n"/>
      <c r="T13" s="225" t="n"/>
      <c r="U13" s="225" t="n"/>
      <c r="V13" s="225" t="n"/>
      <c r="W13" s="225" t="n"/>
      <c r="X13" s="225" t="n"/>
      <c r="Y13" s="225" t="n"/>
      <c r="Z13" s="225" t="n"/>
      <c r="AA13" s="225" t="n"/>
      <c r="AB13" s="225" t="n"/>
      <c r="AC13" s="225" t="n"/>
      <c r="AD13" s="225" t="n"/>
      <c r="AE13" s="226" t="n"/>
      <c r="AF13" s="206" t="n"/>
      <c r="AG13" s="225" t="n"/>
      <c r="AH13" s="225" t="n"/>
      <c r="AI13" s="226" t="n"/>
    </row>
    <row r="14" ht="15" customFormat="1" customHeight="1" s="26">
      <c r="A14" s="87" t="n"/>
      <c r="B14" s="248" t="n"/>
      <c r="C14" s="226" t="n"/>
      <c r="D14" s="249" t="n"/>
      <c r="E14" s="225" t="n"/>
      <c r="F14" s="226" t="n"/>
      <c r="G14" s="248" t="n"/>
      <c r="H14" s="225" t="n"/>
      <c r="I14" s="226" t="n"/>
      <c r="J14" s="206" t="n"/>
      <c r="K14" s="225" t="n"/>
      <c r="L14" s="225" t="n"/>
      <c r="M14" s="225" t="n"/>
      <c r="N14" s="225" t="n"/>
      <c r="O14" s="225" t="n"/>
      <c r="P14" s="226" t="n"/>
      <c r="Q14" s="250" t="n"/>
      <c r="R14" s="225" t="n"/>
      <c r="S14" s="225" t="n"/>
      <c r="T14" s="225" t="n"/>
      <c r="U14" s="225" t="n"/>
      <c r="V14" s="225" t="n"/>
      <c r="W14" s="225" t="n"/>
      <c r="X14" s="225" t="n"/>
      <c r="Y14" s="225" t="n"/>
      <c r="Z14" s="225" t="n"/>
      <c r="AA14" s="225" t="n"/>
      <c r="AB14" s="225" t="n"/>
      <c r="AC14" s="225" t="n"/>
      <c r="AD14" s="225" t="n"/>
      <c r="AE14" s="226" t="n"/>
      <c r="AF14" s="206" t="n"/>
      <c r="AG14" s="225" t="n"/>
      <c r="AH14" s="225" t="n"/>
      <c r="AI14" s="226" t="n"/>
    </row>
    <row r="15" ht="15" customFormat="1" customHeight="1" s="26">
      <c r="A15" s="87" t="n"/>
      <c r="B15" s="248" t="n"/>
      <c r="C15" s="226" t="n"/>
      <c r="D15" s="249" t="n"/>
      <c r="E15" s="225" t="n"/>
      <c r="F15" s="226" t="n"/>
      <c r="G15" s="248" t="n"/>
      <c r="H15" s="225" t="n"/>
      <c r="I15" s="226" t="n"/>
      <c r="J15" s="206" t="n"/>
      <c r="K15" s="225" t="n"/>
      <c r="L15" s="225" t="n"/>
      <c r="M15" s="225" t="n"/>
      <c r="N15" s="225" t="n"/>
      <c r="O15" s="225" t="n"/>
      <c r="P15" s="226" t="n"/>
      <c r="Q15" s="250" t="n"/>
      <c r="R15" s="225" t="n"/>
      <c r="S15" s="225" t="n"/>
      <c r="T15" s="225" t="n"/>
      <c r="U15" s="225" t="n"/>
      <c r="V15" s="225" t="n"/>
      <c r="W15" s="225" t="n"/>
      <c r="X15" s="225" t="n"/>
      <c r="Y15" s="225" t="n"/>
      <c r="Z15" s="225" t="n"/>
      <c r="AA15" s="225" t="n"/>
      <c r="AB15" s="225" t="n"/>
      <c r="AC15" s="225" t="n"/>
      <c r="AD15" s="225" t="n"/>
      <c r="AE15" s="226" t="n"/>
      <c r="AF15" s="206" t="n"/>
      <c r="AG15" s="225" t="n"/>
      <c r="AH15" s="225" t="n"/>
      <c r="AI15" s="226" t="n"/>
    </row>
    <row r="16" ht="15" customFormat="1" customHeight="1" s="26">
      <c r="A16" s="87" t="n"/>
      <c r="B16" s="248" t="n"/>
      <c r="C16" s="226" t="n"/>
      <c r="D16" s="249" t="n"/>
      <c r="E16" s="225" t="n"/>
      <c r="F16" s="226" t="n"/>
      <c r="G16" s="248" t="n"/>
      <c r="H16" s="225" t="n"/>
      <c r="I16" s="226" t="n"/>
      <c r="J16" s="206" t="n"/>
      <c r="K16" s="225" t="n"/>
      <c r="L16" s="225" t="n"/>
      <c r="M16" s="225" t="n"/>
      <c r="N16" s="225" t="n"/>
      <c r="O16" s="225" t="n"/>
      <c r="P16" s="226" t="n"/>
      <c r="Q16" s="250" t="n"/>
      <c r="R16" s="225" t="n"/>
      <c r="S16" s="225" t="n"/>
      <c r="T16" s="225" t="n"/>
      <c r="U16" s="225" t="n"/>
      <c r="V16" s="225" t="n"/>
      <c r="W16" s="225" t="n"/>
      <c r="X16" s="225" t="n"/>
      <c r="Y16" s="225" t="n"/>
      <c r="Z16" s="225" t="n"/>
      <c r="AA16" s="225" t="n"/>
      <c r="AB16" s="225" t="n"/>
      <c r="AC16" s="225" t="n"/>
      <c r="AD16" s="225" t="n"/>
      <c r="AE16" s="226" t="n"/>
      <c r="AF16" s="206" t="n"/>
      <c r="AG16" s="225" t="n"/>
      <c r="AH16" s="225" t="n"/>
      <c r="AI16" s="226" t="n"/>
    </row>
    <row r="17" ht="15" customFormat="1" customHeight="1" s="26">
      <c r="A17" s="87" t="n"/>
      <c r="B17" s="248" t="n"/>
      <c r="C17" s="226" t="n"/>
      <c r="D17" s="249" t="n"/>
      <c r="E17" s="225" t="n"/>
      <c r="F17" s="226" t="n"/>
      <c r="G17" s="248" t="n"/>
      <c r="H17" s="225" t="n"/>
      <c r="I17" s="226" t="n"/>
      <c r="J17" s="206" t="n"/>
      <c r="K17" s="225" t="n"/>
      <c r="L17" s="225" t="n"/>
      <c r="M17" s="225" t="n"/>
      <c r="N17" s="225" t="n"/>
      <c r="O17" s="225" t="n"/>
      <c r="P17" s="226" t="n"/>
      <c r="Q17" s="250" t="n"/>
      <c r="R17" s="225" t="n"/>
      <c r="S17" s="225" t="n"/>
      <c r="T17" s="225" t="n"/>
      <c r="U17" s="225" t="n"/>
      <c r="V17" s="225" t="n"/>
      <c r="W17" s="225" t="n"/>
      <c r="X17" s="225" t="n"/>
      <c r="Y17" s="225" t="n"/>
      <c r="Z17" s="225" t="n"/>
      <c r="AA17" s="225" t="n"/>
      <c r="AB17" s="225" t="n"/>
      <c r="AC17" s="225" t="n"/>
      <c r="AD17" s="225" t="n"/>
      <c r="AE17" s="226" t="n"/>
      <c r="AF17" s="206" t="n"/>
      <c r="AG17" s="225" t="n"/>
      <c r="AH17" s="225" t="n"/>
      <c r="AI17" s="226" t="n"/>
    </row>
    <row r="18" ht="15" customFormat="1" customHeight="1" s="26">
      <c r="A18" s="87" t="n"/>
      <c r="B18" s="248" t="n"/>
      <c r="C18" s="226" t="n"/>
      <c r="D18" s="249" t="n"/>
      <c r="E18" s="225" t="n"/>
      <c r="F18" s="226" t="n"/>
      <c r="G18" s="248" t="n"/>
      <c r="H18" s="225" t="n"/>
      <c r="I18" s="226" t="n"/>
      <c r="J18" s="206" t="n"/>
      <c r="K18" s="225" t="n"/>
      <c r="L18" s="225" t="n"/>
      <c r="M18" s="225" t="n"/>
      <c r="N18" s="225" t="n"/>
      <c r="O18" s="225" t="n"/>
      <c r="P18" s="226" t="n"/>
      <c r="Q18" s="250" t="n"/>
      <c r="R18" s="225" t="n"/>
      <c r="S18" s="225" t="n"/>
      <c r="T18" s="225" t="n"/>
      <c r="U18" s="225" t="n"/>
      <c r="V18" s="225" t="n"/>
      <c r="W18" s="225" t="n"/>
      <c r="X18" s="225" t="n"/>
      <c r="Y18" s="225" t="n"/>
      <c r="Z18" s="225" t="n"/>
      <c r="AA18" s="225" t="n"/>
      <c r="AB18" s="225" t="n"/>
      <c r="AC18" s="225" t="n"/>
      <c r="AD18" s="225" t="n"/>
      <c r="AE18" s="226" t="n"/>
      <c r="AF18" s="206" t="n"/>
      <c r="AG18" s="225" t="n"/>
      <c r="AH18" s="225" t="n"/>
      <c r="AI18" s="226" t="n"/>
    </row>
    <row r="19" ht="15" customFormat="1" customHeight="1" s="26">
      <c r="A19" s="87" t="n"/>
      <c r="B19" s="248" t="n"/>
      <c r="C19" s="226" t="n"/>
      <c r="D19" s="249" t="n"/>
      <c r="E19" s="225" t="n"/>
      <c r="F19" s="226" t="n"/>
      <c r="G19" s="248" t="n"/>
      <c r="H19" s="225" t="n"/>
      <c r="I19" s="226" t="n"/>
      <c r="J19" s="206" t="n"/>
      <c r="K19" s="225" t="n"/>
      <c r="L19" s="225" t="n"/>
      <c r="M19" s="225" t="n"/>
      <c r="N19" s="225" t="n"/>
      <c r="O19" s="225" t="n"/>
      <c r="P19" s="226" t="n"/>
      <c r="Q19" s="250" t="n"/>
      <c r="R19" s="225" t="n"/>
      <c r="S19" s="225" t="n"/>
      <c r="T19" s="225" t="n"/>
      <c r="U19" s="225" t="n"/>
      <c r="V19" s="225" t="n"/>
      <c r="W19" s="225" t="n"/>
      <c r="X19" s="225" t="n"/>
      <c r="Y19" s="225" t="n"/>
      <c r="Z19" s="225" t="n"/>
      <c r="AA19" s="225" t="n"/>
      <c r="AB19" s="225" t="n"/>
      <c r="AC19" s="225" t="n"/>
      <c r="AD19" s="225" t="n"/>
      <c r="AE19" s="226" t="n"/>
      <c r="AF19" s="206" t="n"/>
      <c r="AG19" s="225" t="n"/>
      <c r="AH19" s="225" t="n"/>
      <c r="AI19" s="226" t="n"/>
    </row>
    <row r="20" ht="15" customFormat="1" customHeight="1" s="26">
      <c r="A20" s="87" t="n"/>
      <c r="B20" s="248" t="n"/>
      <c r="C20" s="226" t="n"/>
      <c r="D20" s="249" t="n"/>
      <c r="E20" s="225" t="n"/>
      <c r="F20" s="226" t="n"/>
      <c r="G20" s="248" t="n"/>
      <c r="H20" s="225" t="n"/>
      <c r="I20" s="226" t="n"/>
      <c r="J20" s="206" t="n"/>
      <c r="K20" s="225" t="n"/>
      <c r="L20" s="225" t="n"/>
      <c r="M20" s="225" t="n"/>
      <c r="N20" s="225" t="n"/>
      <c r="O20" s="225" t="n"/>
      <c r="P20" s="226" t="n"/>
      <c r="Q20" s="250" t="n"/>
      <c r="R20" s="225" t="n"/>
      <c r="S20" s="225" t="n"/>
      <c r="T20" s="225" t="n"/>
      <c r="U20" s="225" t="n"/>
      <c r="V20" s="225" t="n"/>
      <c r="W20" s="225" t="n"/>
      <c r="X20" s="225" t="n"/>
      <c r="Y20" s="225" t="n"/>
      <c r="Z20" s="225" t="n"/>
      <c r="AA20" s="225" t="n"/>
      <c r="AB20" s="225" t="n"/>
      <c r="AC20" s="225" t="n"/>
      <c r="AD20" s="225" t="n"/>
      <c r="AE20" s="226" t="n"/>
      <c r="AF20" s="206" t="n"/>
      <c r="AG20" s="225" t="n"/>
      <c r="AH20" s="225" t="n"/>
      <c r="AI20" s="226" t="n"/>
    </row>
    <row r="21" ht="15" customFormat="1" customHeight="1" s="26">
      <c r="A21" s="87" t="n"/>
      <c r="B21" s="248" t="n"/>
      <c r="C21" s="226" t="n"/>
      <c r="D21" s="249" t="n"/>
      <c r="E21" s="225" t="n"/>
      <c r="F21" s="226" t="n"/>
      <c r="G21" s="248" t="n"/>
      <c r="H21" s="225" t="n"/>
      <c r="I21" s="226" t="n"/>
      <c r="J21" s="206" t="n"/>
      <c r="K21" s="225" t="n"/>
      <c r="L21" s="225" t="n"/>
      <c r="M21" s="225" t="n"/>
      <c r="N21" s="225" t="n"/>
      <c r="O21" s="225" t="n"/>
      <c r="P21" s="226" t="n"/>
      <c r="Q21" s="250" t="n"/>
      <c r="R21" s="225" t="n"/>
      <c r="S21" s="225" t="n"/>
      <c r="T21" s="225" t="n"/>
      <c r="U21" s="225" t="n"/>
      <c r="V21" s="225" t="n"/>
      <c r="W21" s="225" t="n"/>
      <c r="X21" s="225" t="n"/>
      <c r="Y21" s="225" t="n"/>
      <c r="Z21" s="225" t="n"/>
      <c r="AA21" s="225" t="n"/>
      <c r="AB21" s="225" t="n"/>
      <c r="AC21" s="225" t="n"/>
      <c r="AD21" s="225" t="n"/>
      <c r="AE21" s="226" t="n"/>
      <c r="AF21" s="206" t="n"/>
      <c r="AG21" s="225" t="n"/>
      <c r="AH21" s="225" t="n"/>
      <c r="AI21" s="226" t="n"/>
    </row>
    <row r="22" ht="15" customFormat="1" customHeight="1" s="26">
      <c r="A22" s="87" t="n"/>
      <c r="B22" s="248" t="n"/>
      <c r="C22" s="226" t="n"/>
      <c r="D22" s="249" t="n"/>
      <c r="E22" s="225" t="n"/>
      <c r="F22" s="226" t="n"/>
      <c r="G22" s="248" t="n"/>
      <c r="H22" s="225" t="n"/>
      <c r="I22" s="226" t="n"/>
      <c r="J22" s="206" t="n"/>
      <c r="K22" s="225" t="n"/>
      <c r="L22" s="225" t="n"/>
      <c r="M22" s="225" t="n"/>
      <c r="N22" s="225" t="n"/>
      <c r="O22" s="225" t="n"/>
      <c r="P22" s="226" t="n"/>
      <c r="Q22" s="250" t="n"/>
      <c r="R22" s="225" t="n"/>
      <c r="S22" s="225" t="n"/>
      <c r="T22" s="225" t="n"/>
      <c r="U22" s="225" t="n"/>
      <c r="V22" s="225" t="n"/>
      <c r="W22" s="225" t="n"/>
      <c r="X22" s="225" t="n"/>
      <c r="Y22" s="225" t="n"/>
      <c r="Z22" s="225" t="n"/>
      <c r="AA22" s="225" t="n"/>
      <c r="AB22" s="225" t="n"/>
      <c r="AC22" s="225" t="n"/>
      <c r="AD22" s="225" t="n"/>
      <c r="AE22" s="226" t="n"/>
      <c r="AF22" s="206" t="n"/>
      <c r="AG22" s="225" t="n"/>
      <c r="AH22" s="225" t="n"/>
      <c r="AI22" s="226" t="n"/>
    </row>
    <row r="23" ht="15" customFormat="1" customHeight="1" s="26">
      <c r="A23" s="87" t="n"/>
      <c r="B23" s="248" t="n"/>
      <c r="C23" s="226" t="n"/>
      <c r="D23" s="249" t="n"/>
      <c r="E23" s="225" t="n"/>
      <c r="F23" s="226" t="n"/>
      <c r="G23" s="248" t="n"/>
      <c r="H23" s="225" t="n"/>
      <c r="I23" s="226" t="n"/>
      <c r="J23" s="206" t="n"/>
      <c r="K23" s="225" t="n"/>
      <c r="L23" s="225" t="n"/>
      <c r="M23" s="225" t="n"/>
      <c r="N23" s="225" t="n"/>
      <c r="O23" s="225" t="n"/>
      <c r="P23" s="226" t="n"/>
      <c r="Q23" s="250" t="n"/>
      <c r="R23" s="225" t="n"/>
      <c r="S23" s="225" t="n"/>
      <c r="T23" s="225" t="n"/>
      <c r="U23" s="225" t="n"/>
      <c r="V23" s="225" t="n"/>
      <c r="W23" s="225" t="n"/>
      <c r="X23" s="225" t="n"/>
      <c r="Y23" s="225" t="n"/>
      <c r="Z23" s="225" t="n"/>
      <c r="AA23" s="225" t="n"/>
      <c r="AB23" s="225" t="n"/>
      <c r="AC23" s="225" t="n"/>
      <c r="AD23" s="225" t="n"/>
      <c r="AE23" s="226" t="n"/>
      <c r="AF23" s="206" t="n"/>
      <c r="AG23" s="225" t="n"/>
      <c r="AH23" s="225" t="n"/>
      <c r="AI23" s="226" t="n"/>
    </row>
    <row r="24" ht="15" customFormat="1" customHeight="1" s="26">
      <c r="A24" s="87" t="n"/>
      <c r="B24" s="248" t="n"/>
      <c r="C24" s="226" t="n"/>
      <c r="D24" s="249" t="n"/>
      <c r="E24" s="225" t="n"/>
      <c r="F24" s="226" t="n"/>
      <c r="G24" s="248" t="n"/>
      <c r="H24" s="225" t="n"/>
      <c r="I24" s="226" t="n"/>
      <c r="J24" s="206" t="n"/>
      <c r="K24" s="225" t="n"/>
      <c r="L24" s="225" t="n"/>
      <c r="M24" s="225" t="n"/>
      <c r="N24" s="225" t="n"/>
      <c r="O24" s="225" t="n"/>
      <c r="P24" s="226" t="n"/>
      <c r="Q24" s="250" t="n"/>
      <c r="R24" s="225" t="n"/>
      <c r="S24" s="225" t="n"/>
      <c r="T24" s="225" t="n"/>
      <c r="U24" s="225" t="n"/>
      <c r="V24" s="225" t="n"/>
      <c r="W24" s="225" t="n"/>
      <c r="X24" s="225" t="n"/>
      <c r="Y24" s="225" t="n"/>
      <c r="Z24" s="225" t="n"/>
      <c r="AA24" s="225" t="n"/>
      <c r="AB24" s="225" t="n"/>
      <c r="AC24" s="225" t="n"/>
      <c r="AD24" s="225" t="n"/>
      <c r="AE24" s="226" t="n"/>
      <c r="AF24" s="206" t="n"/>
      <c r="AG24" s="225" t="n"/>
      <c r="AH24" s="225" t="n"/>
      <c r="AI24" s="226" t="n"/>
    </row>
    <row r="25" ht="15" customFormat="1" customHeight="1" s="26">
      <c r="A25" s="87" t="n"/>
      <c r="B25" s="248" t="n"/>
      <c r="C25" s="226" t="n"/>
      <c r="D25" s="249" t="n"/>
      <c r="E25" s="225" t="n"/>
      <c r="F25" s="226" t="n"/>
      <c r="G25" s="248" t="n"/>
      <c r="H25" s="225" t="n"/>
      <c r="I25" s="226" t="n"/>
      <c r="J25" s="206" t="n"/>
      <c r="K25" s="225" t="n"/>
      <c r="L25" s="225" t="n"/>
      <c r="M25" s="225" t="n"/>
      <c r="N25" s="225" t="n"/>
      <c r="O25" s="225" t="n"/>
      <c r="P25" s="226" t="n"/>
      <c r="Q25" s="250" t="n"/>
      <c r="R25" s="225" t="n"/>
      <c r="S25" s="225" t="n"/>
      <c r="T25" s="225" t="n"/>
      <c r="U25" s="225" t="n"/>
      <c r="V25" s="225" t="n"/>
      <c r="W25" s="225" t="n"/>
      <c r="X25" s="225" t="n"/>
      <c r="Y25" s="225" t="n"/>
      <c r="Z25" s="225" t="n"/>
      <c r="AA25" s="225" t="n"/>
      <c r="AB25" s="225" t="n"/>
      <c r="AC25" s="225" t="n"/>
      <c r="AD25" s="225" t="n"/>
      <c r="AE25" s="226" t="n"/>
      <c r="AF25" s="206" t="n"/>
      <c r="AG25" s="225" t="n"/>
      <c r="AH25" s="225" t="n"/>
      <c r="AI25" s="226" t="n"/>
    </row>
    <row r="26" ht="15" customFormat="1" customHeight="1" s="26">
      <c r="A26" s="87" t="n"/>
      <c r="B26" s="248" t="n"/>
      <c r="C26" s="226" t="n"/>
      <c r="D26" s="249" t="n"/>
      <c r="E26" s="225" t="n"/>
      <c r="F26" s="226" t="n"/>
      <c r="G26" s="248" t="n"/>
      <c r="H26" s="225" t="n"/>
      <c r="I26" s="226" t="n"/>
      <c r="J26" s="206" t="n"/>
      <c r="K26" s="225" t="n"/>
      <c r="L26" s="225" t="n"/>
      <c r="M26" s="225" t="n"/>
      <c r="N26" s="225" t="n"/>
      <c r="O26" s="225" t="n"/>
      <c r="P26" s="226" t="n"/>
      <c r="Q26" s="250" t="n"/>
      <c r="R26" s="225" t="n"/>
      <c r="S26" s="225" t="n"/>
      <c r="T26" s="225" t="n"/>
      <c r="U26" s="225" t="n"/>
      <c r="V26" s="225" t="n"/>
      <c r="W26" s="225" t="n"/>
      <c r="X26" s="225" t="n"/>
      <c r="Y26" s="225" t="n"/>
      <c r="Z26" s="225" t="n"/>
      <c r="AA26" s="225" t="n"/>
      <c r="AB26" s="225" t="n"/>
      <c r="AC26" s="225" t="n"/>
      <c r="AD26" s="225" t="n"/>
      <c r="AE26" s="226" t="n"/>
      <c r="AF26" s="206" t="n"/>
      <c r="AG26" s="225" t="n"/>
      <c r="AH26" s="225" t="n"/>
      <c r="AI26" s="226" t="n"/>
    </row>
    <row r="27" ht="15" customFormat="1" customHeight="1" s="26">
      <c r="A27" s="87" t="n"/>
      <c r="B27" s="248" t="n"/>
      <c r="C27" s="226" t="n"/>
      <c r="D27" s="249" t="n"/>
      <c r="E27" s="225" t="n"/>
      <c r="F27" s="226" t="n"/>
      <c r="G27" s="248" t="n"/>
      <c r="H27" s="225" t="n"/>
      <c r="I27" s="226" t="n"/>
      <c r="J27" s="206" t="n"/>
      <c r="K27" s="225" t="n"/>
      <c r="L27" s="225" t="n"/>
      <c r="M27" s="225" t="n"/>
      <c r="N27" s="225" t="n"/>
      <c r="O27" s="225" t="n"/>
      <c r="P27" s="226" t="n"/>
      <c r="Q27" s="250" t="n"/>
      <c r="R27" s="225" t="n"/>
      <c r="S27" s="225" t="n"/>
      <c r="T27" s="225" t="n"/>
      <c r="U27" s="225" t="n"/>
      <c r="V27" s="225" t="n"/>
      <c r="W27" s="225" t="n"/>
      <c r="X27" s="225" t="n"/>
      <c r="Y27" s="225" t="n"/>
      <c r="Z27" s="225" t="n"/>
      <c r="AA27" s="225" t="n"/>
      <c r="AB27" s="225" t="n"/>
      <c r="AC27" s="225" t="n"/>
      <c r="AD27" s="225" t="n"/>
      <c r="AE27" s="226" t="n"/>
      <c r="AF27" s="206" t="n"/>
      <c r="AG27" s="225" t="n"/>
      <c r="AH27" s="225" t="n"/>
      <c r="AI27" s="226" t="n"/>
    </row>
    <row r="28" ht="15" customFormat="1" customHeight="1" s="26">
      <c r="A28" s="87" t="n"/>
      <c r="B28" s="248" t="n"/>
      <c r="C28" s="226" t="n"/>
      <c r="D28" s="249" t="n"/>
      <c r="E28" s="225" t="n"/>
      <c r="F28" s="226" t="n"/>
      <c r="G28" s="248" t="n"/>
      <c r="H28" s="225" t="n"/>
      <c r="I28" s="226" t="n"/>
      <c r="J28" s="206" t="n"/>
      <c r="K28" s="225" t="n"/>
      <c r="L28" s="225" t="n"/>
      <c r="M28" s="225" t="n"/>
      <c r="N28" s="225" t="n"/>
      <c r="O28" s="225" t="n"/>
      <c r="P28" s="226" t="n"/>
      <c r="Q28" s="250" t="n"/>
      <c r="R28" s="225" t="n"/>
      <c r="S28" s="225" t="n"/>
      <c r="T28" s="225" t="n"/>
      <c r="U28" s="225" t="n"/>
      <c r="V28" s="225" t="n"/>
      <c r="W28" s="225" t="n"/>
      <c r="X28" s="225" t="n"/>
      <c r="Y28" s="225" t="n"/>
      <c r="Z28" s="225" t="n"/>
      <c r="AA28" s="225" t="n"/>
      <c r="AB28" s="225" t="n"/>
      <c r="AC28" s="225" t="n"/>
      <c r="AD28" s="225" t="n"/>
      <c r="AE28" s="226" t="n"/>
      <c r="AF28" s="206" t="n"/>
      <c r="AG28" s="225" t="n"/>
      <c r="AH28" s="225" t="n"/>
      <c r="AI28" s="226" t="n"/>
    </row>
    <row r="29" ht="15" customFormat="1" customHeight="1" s="26">
      <c r="A29" s="87" t="n"/>
      <c r="B29" s="248" t="n"/>
      <c r="C29" s="226" t="n"/>
      <c r="D29" s="249" t="n"/>
      <c r="E29" s="225" t="n"/>
      <c r="F29" s="226" t="n"/>
      <c r="G29" s="248" t="n"/>
      <c r="H29" s="225" t="n"/>
      <c r="I29" s="226" t="n"/>
      <c r="J29" s="206" t="n"/>
      <c r="K29" s="225" t="n"/>
      <c r="L29" s="225" t="n"/>
      <c r="M29" s="225" t="n"/>
      <c r="N29" s="225" t="n"/>
      <c r="O29" s="225" t="n"/>
      <c r="P29" s="226" t="n"/>
      <c r="Q29" s="250" t="n"/>
      <c r="R29" s="225" t="n"/>
      <c r="S29" s="225" t="n"/>
      <c r="T29" s="225" t="n"/>
      <c r="U29" s="225" t="n"/>
      <c r="V29" s="225" t="n"/>
      <c r="W29" s="225" t="n"/>
      <c r="X29" s="225" t="n"/>
      <c r="Y29" s="225" t="n"/>
      <c r="Z29" s="225" t="n"/>
      <c r="AA29" s="225" t="n"/>
      <c r="AB29" s="225" t="n"/>
      <c r="AC29" s="225" t="n"/>
      <c r="AD29" s="225" t="n"/>
      <c r="AE29" s="226" t="n"/>
      <c r="AF29" s="206" t="n"/>
      <c r="AG29" s="225" t="n"/>
      <c r="AH29" s="225" t="n"/>
      <c r="AI29" s="226" t="n"/>
    </row>
    <row r="30" ht="15" customFormat="1" customHeight="1" s="26">
      <c r="A30" s="87" t="n"/>
      <c r="B30" s="248" t="n"/>
      <c r="C30" s="226" t="n"/>
      <c r="D30" s="249" t="n"/>
      <c r="E30" s="225" t="n"/>
      <c r="F30" s="226" t="n"/>
      <c r="G30" s="248" t="n"/>
      <c r="H30" s="225" t="n"/>
      <c r="I30" s="226" t="n"/>
      <c r="J30" s="206" t="n"/>
      <c r="K30" s="225" t="n"/>
      <c r="L30" s="225" t="n"/>
      <c r="M30" s="225" t="n"/>
      <c r="N30" s="225" t="n"/>
      <c r="O30" s="225" t="n"/>
      <c r="P30" s="226" t="n"/>
      <c r="Q30" s="250" t="n"/>
      <c r="R30" s="225" t="n"/>
      <c r="S30" s="225" t="n"/>
      <c r="T30" s="225" t="n"/>
      <c r="U30" s="225" t="n"/>
      <c r="V30" s="225" t="n"/>
      <c r="W30" s="225" t="n"/>
      <c r="X30" s="225" t="n"/>
      <c r="Y30" s="225" t="n"/>
      <c r="Z30" s="225" t="n"/>
      <c r="AA30" s="225" t="n"/>
      <c r="AB30" s="225" t="n"/>
      <c r="AC30" s="225" t="n"/>
      <c r="AD30" s="225" t="n"/>
      <c r="AE30" s="226" t="n"/>
      <c r="AF30" s="206" t="n"/>
      <c r="AG30" s="225" t="n"/>
      <c r="AH30" s="225" t="n"/>
      <c r="AI30" s="226" t="n"/>
    </row>
    <row r="31" ht="15" customFormat="1" customHeight="1" s="26">
      <c r="A31" s="87" t="n"/>
      <c r="B31" s="248" t="n"/>
      <c r="C31" s="226" t="n"/>
      <c r="D31" s="249" t="n"/>
      <c r="E31" s="225" t="n"/>
      <c r="F31" s="226" t="n"/>
      <c r="G31" s="248" t="n"/>
      <c r="H31" s="225" t="n"/>
      <c r="I31" s="226" t="n"/>
      <c r="J31" s="206" t="n"/>
      <c r="K31" s="225" t="n"/>
      <c r="L31" s="225" t="n"/>
      <c r="M31" s="225" t="n"/>
      <c r="N31" s="225" t="n"/>
      <c r="O31" s="225" t="n"/>
      <c r="P31" s="226" t="n"/>
      <c r="Q31" s="250" t="n"/>
      <c r="R31" s="225" t="n"/>
      <c r="S31" s="225" t="n"/>
      <c r="T31" s="225" t="n"/>
      <c r="U31" s="225" t="n"/>
      <c r="V31" s="225" t="n"/>
      <c r="W31" s="225" t="n"/>
      <c r="X31" s="225" t="n"/>
      <c r="Y31" s="225" t="n"/>
      <c r="Z31" s="225" t="n"/>
      <c r="AA31" s="225" t="n"/>
      <c r="AB31" s="225" t="n"/>
      <c r="AC31" s="225" t="n"/>
      <c r="AD31" s="225" t="n"/>
      <c r="AE31" s="226" t="n"/>
      <c r="AF31" s="206" t="n"/>
      <c r="AG31" s="225" t="n"/>
      <c r="AH31" s="225" t="n"/>
      <c r="AI31" s="226" t="n"/>
    </row>
    <row r="32" ht="15" customFormat="1" customHeight="1" s="26">
      <c r="A32" s="87" t="n"/>
      <c r="B32" s="248" t="n"/>
      <c r="C32" s="226" t="n"/>
      <c r="D32" s="249" t="n"/>
      <c r="E32" s="225" t="n"/>
      <c r="F32" s="226" t="n"/>
      <c r="G32" s="248" t="n"/>
      <c r="H32" s="225" t="n"/>
      <c r="I32" s="226" t="n"/>
      <c r="J32" s="206" t="n"/>
      <c r="K32" s="225" t="n"/>
      <c r="L32" s="225" t="n"/>
      <c r="M32" s="225" t="n"/>
      <c r="N32" s="225" t="n"/>
      <c r="O32" s="225" t="n"/>
      <c r="P32" s="226" t="n"/>
      <c r="Q32" s="250" t="n"/>
      <c r="R32" s="225" t="n"/>
      <c r="S32" s="225" t="n"/>
      <c r="T32" s="225" t="n"/>
      <c r="U32" s="225" t="n"/>
      <c r="V32" s="225" t="n"/>
      <c r="W32" s="225" t="n"/>
      <c r="X32" s="225" t="n"/>
      <c r="Y32" s="225" t="n"/>
      <c r="Z32" s="225" t="n"/>
      <c r="AA32" s="225" t="n"/>
      <c r="AB32" s="225" t="n"/>
      <c r="AC32" s="225" t="n"/>
      <c r="AD32" s="225" t="n"/>
      <c r="AE32" s="226" t="n"/>
      <c r="AF32" s="206" t="n"/>
      <c r="AG32" s="225" t="n"/>
      <c r="AH32" s="225" t="n"/>
      <c r="AI32" s="226" t="n"/>
    </row>
    <row r="33" ht="15" customFormat="1" customHeight="1" s="26">
      <c r="A33" s="87" t="n"/>
      <c r="B33" s="248" t="n"/>
      <c r="C33" s="226" t="n"/>
      <c r="D33" s="249" t="n"/>
      <c r="E33" s="225" t="n"/>
      <c r="F33" s="226" t="n"/>
      <c r="G33" s="248" t="n"/>
      <c r="H33" s="225" t="n"/>
      <c r="I33" s="226" t="n"/>
      <c r="J33" s="206" t="n"/>
      <c r="K33" s="225" t="n"/>
      <c r="L33" s="225" t="n"/>
      <c r="M33" s="225" t="n"/>
      <c r="N33" s="225" t="n"/>
      <c r="O33" s="225" t="n"/>
      <c r="P33" s="226" t="n"/>
      <c r="Q33" s="250" t="n"/>
      <c r="R33" s="225" t="n"/>
      <c r="S33" s="225" t="n"/>
      <c r="T33" s="225" t="n"/>
      <c r="U33" s="225" t="n"/>
      <c r="V33" s="225" t="n"/>
      <c r="W33" s="225" t="n"/>
      <c r="X33" s="225" t="n"/>
      <c r="Y33" s="225" t="n"/>
      <c r="Z33" s="225" t="n"/>
      <c r="AA33" s="225" t="n"/>
      <c r="AB33" s="225" t="n"/>
      <c r="AC33" s="225" t="n"/>
      <c r="AD33" s="225" t="n"/>
      <c r="AE33" s="226" t="n"/>
      <c r="AF33" s="206" t="n"/>
      <c r="AG33" s="225" t="n"/>
      <c r="AH33" s="225" t="n"/>
      <c r="AI33" s="226" t="n"/>
    </row>
    <row r="34" ht="14.25" customHeight="1">
      <c r="K34" s="36" t="n"/>
    </row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J23:P23"/>
    <mergeCell ref="AF22:AI22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B32:C32"/>
    <mergeCell ref="Q24:AE24"/>
    <mergeCell ref="J20:P20"/>
    <mergeCell ref="Q18:AE18"/>
    <mergeCell ref="B26:C26"/>
    <mergeCell ref="AF12:AI12"/>
    <mergeCell ref="J11:P11"/>
    <mergeCell ref="A2:D2"/>
    <mergeCell ref="O1:R3"/>
    <mergeCell ref="Q8:AE8"/>
    <mergeCell ref="AG2:AI2"/>
    <mergeCell ref="B16:C16"/>
    <mergeCell ref="G28:I28"/>
    <mergeCell ref="D27:F27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G23:I23"/>
    <mergeCell ref="D22:F22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Q31:AE31"/>
    <mergeCell ref="J33:P33"/>
    <mergeCell ref="AF19:AI19"/>
    <mergeCell ref="J18:P18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5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66" min="1" max="16"/>
    <col width="4.83203125" customWidth="1" style="72" min="17" max="17"/>
    <col width="4.83203125" customWidth="1" style="66" min="18" max="33"/>
    <col width="4.83203125" customWidth="1" style="72" min="34" max="34"/>
    <col width="4.83203125" customWidth="1" style="66" min="35" max="256"/>
    <col width="4.83203125" customWidth="1" style="66" min="257" max="290"/>
    <col width="4.83203125" customWidth="1" style="66" min="291" max="512"/>
    <col width="4.83203125" customWidth="1" style="66" min="513" max="546"/>
    <col width="4.83203125" customWidth="1" style="66" min="547" max="768"/>
    <col width="4.83203125" customWidth="1" style="66" min="769" max="802"/>
    <col width="4.83203125" customWidth="1" style="66" min="803" max="1024"/>
    <col width="4.83203125" customWidth="1" style="66" min="1025" max="1058"/>
    <col width="4.83203125" customWidth="1" style="66" min="1059" max="1280"/>
    <col width="4.83203125" customWidth="1" style="66" min="1281" max="1314"/>
    <col width="4.83203125" customWidth="1" style="66" min="1315" max="1536"/>
    <col width="4.83203125" customWidth="1" style="66" min="1537" max="1570"/>
    <col width="4.83203125" customWidth="1" style="66" min="1571" max="1792"/>
    <col width="4.83203125" customWidth="1" style="66" min="1793" max="1826"/>
    <col width="4.83203125" customWidth="1" style="66" min="1827" max="2048"/>
    <col width="4.83203125" customWidth="1" style="66" min="2049" max="2082"/>
    <col width="4.83203125" customWidth="1" style="66" min="2083" max="2304"/>
    <col width="4.83203125" customWidth="1" style="66" min="2305" max="2338"/>
    <col width="4.83203125" customWidth="1" style="66" min="2339" max="2560"/>
    <col width="4.83203125" customWidth="1" style="66" min="2561" max="2594"/>
    <col width="4.83203125" customWidth="1" style="66" min="2595" max="2816"/>
    <col width="4.83203125" customWidth="1" style="66" min="2817" max="2850"/>
    <col width="4.83203125" customWidth="1" style="66" min="2851" max="3072"/>
    <col width="4.83203125" customWidth="1" style="66" min="3073" max="3106"/>
    <col width="4.83203125" customWidth="1" style="66" min="3107" max="3328"/>
    <col width="4.83203125" customWidth="1" style="66" min="3329" max="3362"/>
    <col width="4.83203125" customWidth="1" style="66" min="3363" max="3584"/>
    <col width="4.83203125" customWidth="1" style="66" min="3585" max="3618"/>
    <col width="4.83203125" customWidth="1" style="66" min="3619" max="3840"/>
    <col width="4.83203125" customWidth="1" style="66" min="3841" max="3874"/>
    <col width="4.83203125" customWidth="1" style="66" min="3875" max="4096"/>
    <col width="4.83203125" customWidth="1" style="66" min="4097" max="4130"/>
    <col width="4.83203125" customWidth="1" style="66" min="4131" max="4352"/>
    <col width="4.83203125" customWidth="1" style="66" min="4353" max="4386"/>
    <col width="4.83203125" customWidth="1" style="66" min="4387" max="4608"/>
    <col width="4.83203125" customWidth="1" style="66" min="4609" max="4642"/>
    <col width="4.83203125" customWidth="1" style="66" min="4643" max="4864"/>
    <col width="4.83203125" customWidth="1" style="66" min="4865" max="4898"/>
    <col width="4.83203125" customWidth="1" style="66" min="4899" max="5120"/>
    <col width="4.83203125" customWidth="1" style="66" min="5121" max="5154"/>
    <col width="4.83203125" customWidth="1" style="66" min="5155" max="5376"/>
    <col width="4.83203125" customWidth="1" style="66" min="5377" max="5410"/>
    <col width="4.83203125" customWidth="1" style="66" min="5411" max="5632"/>
    <col width="4.83203125" customWidth="1" style="66" min="5633" max="5666"/>
    <col width="4.83203125" customWidth="1" style="66" min="5667" max="5888"/>
    <col width="4.83203125" customWidth="1" style="66" min="5889" max="5922"/>
    <col width="4.83203125" customWidth="1" style="66" min="5923" max="6144"/>
    <col width="4.83203125" customWidth="1" style="66" min="6145" max="6178"/>
    <col width="4.83203125" customWidth="1" style="66" min="6179" max="6400"/>
    <col width="4.83203125" customWidth="1" style="66" min="6401" max="6434"/>
    <col width="4.83203125" customWidth="1" style="66" min="6435" max="6656"/>
    <col width="4.83203125" customWidth="1" style="66" min="6657" max="6690"/>
    <col width="4.83203125" customWidth="1" style="66" min="6691" max="6912"/>
    <col width="4.83203125" customWidth="1" style="66" min="6913" max="6946"/>
    <col width="4.83203125" customWidth="1" style="66" min="6947" max="7168"/>
    <col width="4.83203125" customWidth="1" style="66" min="7169" max="7202"/>
    <col width="4.83203125" customWidth="1" style="66" min="7203" max="7424"/>
    <col width="4.83203125" customWidth="1" style="66" min="7425" max="7458"/>
    <col width="4.83203125" customWidth="1" style="66" min="7459" max="7680"/>
    <col width="4.83203125" customWidth="1" style="66" min="7681" max="7714"/>
    <col width="4.83203125" customWidth="1" style="66" min="7715" max="7936"/>
    <col width="4.83203125" customWidth="1" style="66" min="7937" max="7970"/>
    <col width="4.83203125" customWidth="1" style="66" min="7971" max="8192"/>
    <col width="4.83203125" customWidth="1" style="66" min="8193" max="8226"/>
    <col width="4.83203125" customWidth="1" style="66" min="8227" max="8448"/>
    <col width="4.83203125" customWidth="1" style="66" min="8449" max="8482"/>
    <col width="4.83203125" customWidth="1" style="66" min="8483" max="8704"/>
    <col width="4.83203125" customWidth="1" style="66" min="8705" max="8738"/>
    <col width="4.83203125" customWidth="1" style="66" min="8739" max="8960"/>
    <col width="4.83203125" customWidth="1" style="66" min="8961" max="8994"/>
    <col width="4.83203125" customWidth="1" style="66" min="8995" max="9216"/>
    <col width="4.83203125" customWidth="1" style="66" min="9217" max="9250"/>
    <col width="4.83203125" customWidth="1" style="66" min="9251" max="9472"/>
    <col width="4.83203125" customWidth="1" style="66" min="9473" max="9506"/>
    <col width="4.83203125" customWidth="1" style="66" min="9507" max="9728"/>
    <col width="4.83203125" customWidth="1" style="66" min="9729" max="9762"/>
    <col width="4.83203125" customWidth="1" style="66" min="9763" max="9984"/>
    <col width="4.83203125" customWidth="1" style="66" min="9985" max="10018"/>
    <col width="4.83203125" customWidth="1" style="66" min="10019" max="10240"/>
    <col width="4.83203125" customWidth="1" style="66" min="10241" max="10274"/>
    <col width="4.83203125" customWidth="1" style="66" min="10275" max="10496"/>
    <col width="4.83203125" customWidth="1" style="66" min="10497" max="10530"/>
    <col width="4.83203125" customWidth="1" style="66" min="10531" max="10752"/>
    <col width="4.83203125" customWidth="1" style="66" min="10753" max="10786"/>
    <col width="4.83203125" customWidth="1" style="66" min="10787" max="11008"/>
    <col width="4.83203125" customWidth="1" style="66" min="11009" max="11042"/>
    <col width="4.83203125" customWidth="1" style="66" min="11043" max="11264"/>
    <col width="4.83203125" customWidth="1" style="66" min="11265" max="11298"/>
    <col width="4.83203125" customWidth="1" style="66" min="11299" max="11520"/>
    <col width="4.83203125" customWidth="1" style="66" min="11521" max="11554"/>
    <col width="4.83203125" customWidth="1" style="66" min="11555" max="11776"/>
    <col width="4.83203125" customWidth="1" style="66" min="11777" max="11810"/>
    <col width="4.83203125" customWidth="1" style="66" min="11811" max="12032"/>
    <col width="4.83203125" customWidth="1" style="66" min="12033" max="12066"/>
    <col width="4.83203125" customWidth="1" style="66" min="12067" max="12288"/>
    <col width="4.83203125" customWidth="1" style="66" min="12289" max="12322"/>
    <col width="4.83203125" customWidth="1" style="66" min="12323" max="12544"/>
    <col width="4.83203125" customWidth="1" style="66" min="12545" max="12578"/>
    <col width="4.83203125" customWidth="1" style="66" min="12579" max="12800"/>
    <col width="4.83203125" customWidth="1" style="66" min="12801" max="12834"/>
    <col width="4.83203125" customWidth="1" style="66" min="12835" max="13056"/>
    <col width="4.83203125" customWidth="1" style="66" min="13057" max="13090"/>
    <col width="4.83203125" customWidth="1" style="66" min="13091" max="13312"/>
    <col width="4.83203125" customWidth="1" style="66" min="13313" max="13346"/>
    <col width="4.83203125" customWidth="1" style="66" min="13347" max="13568"/>
    <col width="4.83203125" customWidth="1" style="66" min="13569" max="13602"/>
    <col width="4.83203125" customWidth="1" style="66" min="13603" max="13824"/>
    <col width="4.83203125" customWidth="1" style="66" min="13825" max="13858"/>
    <col width="4.83203125" customWidth="1" style="66" min="13859" max="14080"/>
    <col width="4.83203125" customWidth="1" style="66" min="14081" max="14114"/>
    <col width="4.83203125" customWidth="1" style="66" min="14115" max="14336"/>
    <col width="4.83203125" customWidth="1" style="66" min="14337" max="14370"/>
    <col width="4.83203125" customWidth="1" style="66" min="14371" max="14592"/>
    <col width="4.83203125" customWidth="1" style="66" min="14593" max="14626"/>
    <col width="4.83203125" customWidth="1" style="66" min="14627" max="14848"/>
    <col width="4.83203125" customWidth="1" style="66" min="14849" max="14882"/>
    <col width="4.83203125" customWidth="1" style="66" min="14883" max="15104"/>
    <col width="4.83203125" customWidth="1" style="66" min="15105" max="15138"/>
    <col width="4.83203125" customWidth="1" style="66" min="15139" max="15360"/>
    <col width="4.83203125" customWidth="1" style="66" min="15361" max="15394"/>
    <col width="4.83203125" customWidth="1" style="66" min="15395" max="15616"/>
    <col width="4.83203125" customWidth="1" style="66" min="15617" max="15650"/>
    <col width="4.83203125" customWidth="1" style="66" min="15651" max="15872"/>
    <col width="4.83203125" customWidth="1" style="66" min="15873" max="15906"/>
    <col width="4.83203125" customWidth="1" style="66" min="15907" max="16128"/>
    <col width="4.83203125" customWidth="1" style="66" min="16129" max="16162"/>
    <col width="4.83203125" customWidth="1" style="66" min="16163" max="16384"/>
  </cols>
  <sheetData>
    <row r="1" ht="12" customFormat="1" customHeight="1" s="13">
      <c r="A1" s="251" t="inlineStr">
        <is>
          <t>PJ名</t>
        </is>
      </c>
      <c r="B1" s="225" t="n"/>
      <c r="C1" s="225" t="n"/>
      <c r="D1" s="226" t="n"/>
      <c r="E1" s="227">
        <f>IF(INDIRECT("変更履歴!E1")&lt;&gt;"",INDIRECT("変更履歴!E1"),"")</f>
        <v/>
      </c>
      <c r="F1" s="225" t="n"/>
      <c r="G1" s="225" t="n"/>
      <c r="H1" s="225" t="n"/>
      <c r="I1" s="225" t="n"/>
      <c r="J1" s="225" t="n"/>
      <c r="K1" s="225" t="n"/>
      <c r="L1" s="225" t="n"/>
      <c r="M1" s="225" t="n"/>
      <c r="N1" s="226" t="n"/>
      <c r="O1" s="251" t="inlineStr">
        <is>
          <t>成果物名</t>
        </is>
      </c>
      <c r="P1" s="229" t="n"/>
      <c r="Q1" s="229" t="n"/>
      <c r="R1" s="230" t="n"/>
      <c r="S1" s="231">
        <f>IF(INDIRECT("変更履歴!S1")&lt;&gt;"",INDIRECT("変更履歴!S1"),"")</f>
        <v/>
      </c>
      <c r="T1" s="229" t="n"/>
      <c r="U1" s="229" t="n"/>
      <c r="V1" s="229" t="n"/>
      <c r="W1" s="229" t="n"/>
      <c r="X1" s="229" t="n"/>
      <c r="Y1" s="229" t="n"/>
      <c r="Z1" s="230" t="n"/>
      <c r="AA1" s="251" t="inlineStr">
        <is>
          <t>作成</t>
        </is>
      </c>
      <c r="AB1" s="226" t="n"/>
      <c r="AC1" s="232">
        <f>IF(INDIRECT("変更履歴!AC1")&lt;&gt;"",INDIRECT("変更履歴!AC1"),"")</f>
        <v/>
      </c>
      <c r="AD1" s="225" t="n"/>
      <c r="AE1" s="225" t="n"/>
      <c r="AF1" s="226" t="n"/>
      <c r="AG1" s="252">
        <f>IF(INDIRECT("変更履歴!AG1")&lt;&gt;"",INDIRECT("変更履歴!AG1"),"")</f>
        <v/>
      </c>
      <c r="AH1" s="225" t="n"/>
      <c r="AI1" s="226" t="n"/>
      <c r="AJ1" s="9" t="n"/>
      <c r="AK1" s="9" t="n"/>
      <c r="AL1" s="10" t="n"/>
    </row>
    <row r="2" ht="12" customFormat="1" customHeight="1" s="13">
      <c r="A2" s="251" t="inlineStr">
        <is>
          <t>システム名</t>
        </is>
      </c>
      <c r="B2" s="225" t="n"/>
      <c r="C2" s="225" t="n"/>
      <c r="D2" s="226" t="n"/>
      <c r="E2" s="227">
        <f>IF(INDIRECT("変更履歴!E2")&lt;&gt;"",INDIRECT("変更履歴!E2"),"")</f>
        <v/>
      </c>
      <c r="F2" s="225" t="n"/>
      <c r="G2" s="225" t="n"/>
      <c r="H2" s="225" t="n"/>
      <c r="I2" s="225" t="n"/>
      <c r="J2" s="225" t="n"/>
      <c r="K2" s="225" t="n"/>
      <c r="L2" s="225" t="n"/>
      <c r="M2" s="225" t="n"/>
      <c r="N2" s="226" t="n"/>
      <c r="O2" s="234" t="n"/>
      <c r="R2" s="235" t="n"/>
      <c r="S2" s="234" t="n"/>
      <c r="Z2" s="235" t="n"/>
      <c r="AA2" s="251" t="inlineStr">
        <is>
          <t>変更</t>
        </is>
      </c>
      <c r="AB2" s="226" t="n"/>
      <c r="AC2" s="232">
        <f>IF(INDIRECT("変更履歴!AC2")&lt;&gt;"",INDIRECT("変更履歴!AC2"),"")</f>
        <v/>
      </c>
      <c r="AD2" s="225" t="n"/>
      <c r="AE2" s="225" t="n"/>
      <c r="AF2" s="226" t="n"/>
      <c r="AG2" s="252">
        <f>IF(INDIRECT("変更履歴!AG2")&lt;&gt;"",INDIRECT("変更履歴!AG2"),"")</f>
        <v/>
      </c>
      <c r="AH2" s="225" t="n"/>
      <c r="AI2" s="226" t="n"/>
      <c r="AJ2" s="9" t="n"/>
      <c r="AK2" s="9" t="n"/>
      <c r="AL2" s="9" t="n"/>
    </row>
    <row r="3" ht="12" customFormat="1" customHeight="1" s="13">
      <c r="A3" s="251" t="inlineStr">
        <is>
          <t>サブシステム名</t>
        </is>
      </c>
      <c r="B3" s="225" t="n"/>
      <c r="C3" s="225" t="n"/>
      <c r="D3" s="226" t="n"/>
      <c r="E3" s="227">
        <f>IF(INDIRECT("変更履歴!E3")&lt;&gt;"",INDIRECT("変更履歴!E3"),"")</f>
        <v/>
      </c>
      <c r="F3" s="225" t="n"/>
      <c r="G3" s="225" t="n"/>
      <c r="H3" s="225" t="n"/>
      <c r="I3" s="225" t="n"/>
      <c r="J3" s="225" t="n"/>
      <c r="K3" s="225" t="n"/>
      <c r="L3" s="225" t="n"/>
      <c r="M3" s="225" t="n"/>
      <c r="N3" s="226" t="n"/>
      <c r="O3" s="236" t="n"/>
      <c r="P3" s="237" t="n"/>
      <c r="Q3" s="237" t="n"/>
      <c r="R3" s="238" t="n"/>
      <c r="S3" s="236" t="n"/>
      <c r="T3" s="237" t="n"/>
      <c r="U3" s="237" t="n"/>
      <c r="V3" s="237" t="n"/>
      <c r="W3" s="237" t="n"/>
      <c r="X3" s="237" t="n"/>
      <c r="Y3" s="237" t="n"/>
      <c r="Z3" s="238" t="n"/>
      <c r="AA3" s="251" t="n"/>
      <c r="AB3" s="226" t="n"/>
      <c r="AC3" s="232">
        <f>IF(INDIRECT("変更履歴!AC3")&lt;&gt;"",INDIRECT("変更履歴!AC3"),"")</f>
        <v/>
      </c>
      <c r="AD3" s="225" t="n"/>
      <c r="AE3" s="225" t="n"/>
      <c r="AF3" s="226" t="n"/>
      <c r="AG3" s="252">
        <f>IF(INDIRECT("変更履歴!AG3")&lt;&gt;"",INDIRECT("変更履歴!AG3"),"")</f>
        <v/>
      </c>
      <c r="AH3" s="225" t="n"/>
      <c r="AI3" s="226" t="n"/>
      <c r="AJ3" s="9" t="n"/>
      <c r="AK3" s="9" t="n"/>
      <c r="AL3" s="9" t="n"/>
    </row>
    <row r="4" ht="19.5" customFormat="1" customHeight="1" s="38">
      <c r="A4" s="45" t="n"/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7" t="n"/>
      <c r="AD4" s="45" t="n"/>
      <c r="AE4" s="45" t="n"/>
      <c r="AF4" s="45" t="n"/>
      <c r="AG4" s="45" t="n"/>
      <c r="AH4" s="45" t="n"/>
      <c r="AI4" s="45" t="n"/>
    </row>
    <row r="5" ht="15" customFormat="1" customHeight="1" s="38">
      <c r="A5" s="45" t="n"/>
      <c r="B5" s="45" t="n"/>
      <c r="C5" s="45" t="n"/>
      <c r="D5" s="45" t="n"/>
      <c r="E5" s="45" t="n"/>
      <c r="F5" s="45" t="n"/>
      <c r="G5" s="45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39" t="inlineStr">
        <is>
          <t>目次</t>
        </is>
      </c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7" t="n"/>
      <c r="AD5" s="45" t="n"/>
      <c r="AE5" s="45" t="n"/>
      <c r="AF5" s="45" t="n"/>
      <c r="AG5" s="45" t="n"/>
      <c r="AH5" s="45" t="n"/>
      <c r="AI5" s="45" t="n"/>
    </row>
    <row r="6" ht="15" customFormat="1" customHeight="1" s="38">
      <c r="A6" s="45" t="n"/>
      <c r="B6" s="45" t="n"/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39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7" t="n"/>
      <c r="AD6" s="45" t="n"/>
      <c r="AE6" s="45" t="n"/>
      <c r="AF6" s="45" t="n"/>
      <c r="AG6" s="45" t="n"/>
      <c r="AH6" s="45" t="n"/>
      <c r="AI6" s="45" t="n"/>
    </row>
    <row r="7" ht="15" customHeight="1">
      <c r="A7" s="45" t="n"/>
      <c r="B7" s="85" t="inlineStr">
        <is>
          <t>1. 事前承認要否判定</t>
        </is>
      </c>
      <c r="C7" s="45" t="n"/>
      <c r="D7" s="45" t="n"/>
      <c r="E7" s="45" t="n"/>
      <c r="F7" s="45" t="n"/>
      <c r="G7" s="45" t="n"/>
      <c r="H7" s="45" t="n"/>
      <c r="I7" s="45" t="n"/>
      <c r="J7" s="45" t="n"/>
      <c r="K7" s="45" t="n"/>
      <c r="L7" s="45" t="n"/>
      <c r="M7" s="45" t="n"/>
      <c r="N7" s="41" t="n"/>
      <c r="O7" s="45" t="n"/>
      <c r="P7" s="47" t="n"/>
      <c r="Q7" s="45" t="n"/>
      <c r="R7" s="47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7" t="n"/>
      <c r="AH7" s="74" t="n"/>
      <c r="AI7" s="45" t="n"/>
    </row>
    <row r="8" ht="15" customHeight="1">
      <c r="A8" s="45" t="n"/>
      <c r="B8" s="45" t="inlineStr">
        <is>
          <t>2. 精算額計算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1" t="n"/>
      <c r="O8" s="45" t="n"/>
      <c r="P8" s="47" t="n"/>
      <c r="Q8" s="45" t="n"/>
      <c r="R8" s="47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7" t="n"/>
      <c r="AG8" s="47" t="n"/>
      <c r="AH8" s="74" t="n"/>
      <c r="AI8" s="45" t="n"/>
    </row>
    <row r="9" ht="15" customHeight="1">
      <c r="A9" s="45" t="n"/>
      <c r="B9" s="45" t="inlineStr">
        <is>
          <t>3. 経理連携データ作成</t>
        </is>
      </c>
      <c r="C9" s="45" t="n"/>
      <c r="D9" s="45" t="n"/>
      <c r="E9" s="45" t="n"/>
      <c r="F9" s="45" t="n"/>
      <c r="G9" s="45" t="n"/>
      <c r="H9" s="45" t="n"/>
      <c r="I9" s="45" t="n"/>
      <c r="J9" s="45" t="n"/>
      <c r="K9" s="45" t="n"/>
      <c r="L9" s="45" t="n"/>
      <c r="M9" s="45" t="n"/>
      <c r="N9" s="41" t="n"/>
      <c r="O9" s="45" t="n"/>
      <c r="P9" s="47" t="n"/>
      <c r="Q9" s="45" t="n"/>
      <c r="R9" s="47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74" t="n"/>
      <c r="AI9" s="45" t="n"/>
    </row>
    <row r="10" ht="15" customHeight="1">
      <c r="A10" s="45" t="n"/>
      <c r="B10" s="45" t="inlineStr">
        <is>
          <t>4. 申請ID採番</t>
        </is>
      </c>
      <c r="C10" s="45" t="n"/>
      <c r="D10" s="45" t="n"/>
      <c r="E10" s="45" t="n"/>
      <c r="F10" s="45" t="n"/>
      <c r="G10" s="45" t="n"/>
      <c r="H10" s="45" t="n"/>
      <c r="I10" s="45" t="n"/>
      <c r="J10" s="45" t="n"/>
      <c r="K10" s="45" t="n"/>
      <c r="L10" s="45" t="n"/>
      <c r="M10" s="45" t="n"/>
      <c r="N10" s="41" t="n"/>
      <c r="O10" s="45" t="n"/>
      <c r="P10" s="47" t="n"/>
      <c r="Q10" s="45" t="n"/>
      <c r="R10" s="47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7" t="n"/>
      <c r="AH10" s="74" t="n"/>
      <c r="AI10" s="45" t="n"/>
    </row>
    <row r="11" ht="15" customHeight="1">
      <c r="A11" s="45" t="n"/>
      <c r="B11" s="45" t="n"/>
      <c r="C11" s="45" t="n"/>
      <c r="D11" s="45" t="n"/>
      <c r="E11" s="45" t="n"/>
      <c r="F11" s="45" t="n"/>
      <c r="G11" s="45" t="n"/>
      <c r="H11" s="45" t="n"/>
      <c r="I11" s="45" t="n"/>
      <c r="J11" s="45" t="n"/>
      <c r="K11" s="45" t="n"/>
      <c r="L11" s="45" t="n"/>
      <c r="M11" s="45" t="n"/>
      <c r="N11" s="41" t="n"/>
      <c r="O11" s="45" t="n"/>
      <c r="P11" s="47" t="n"/>
      <c r="Q11" s="45" t="n"/>
      <c r="R11" s="47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7" t="n"/>
      <c r="AH11" s="74" t="n"/>
      <c r="AI11" s="45" t="n"/>
    </row>
    <row r="12" ht="15" customHeight="1">
      <c r="A12" s="45" t="n"/>
      <c r="B12" s="45" t="n"/>
      <c r="C12" s="45" t="n"/>
      <c r="D12" s="45" t="n"/>
      <c r="E12" s="45" t="n"/>
      <c r="F12" s="45" t="n"/>
      <c r="G12" s="45" t="n"/>
      <c r="H12" s="45" t="n"/>
      <c r="I12" s="45" t="n"/>
      <c r="J12" s="45" t="n"/>
      <c r="K12" s="45" t="n"/>
      <c r="L12" s="45" t="n"/>
      <c r="M12" s="45" t="n"/>
      <c r="N12" s="41" t="n"/>
      <c r="O12" s="45" t="n"/>
      <c r="P12" s="47" t="n"/>
      <c r="Q12" s="45" t="n"/>
      <c r="R12" s="47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7" t="n"/>
      <c r="AH12" s="74" t="n"/>
      <c r="AI12" s="45" t="n"/>
    </row>
    <row r="13" ht="15" customHeight="1">
      <c r="A13" s="45" t="n"/>
      <c r="B13" s="45" t="n"/>
      <c r="C13" s="45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50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7" t="n"/>
      <c r="AH13" s="74" t="n"/>
      <c r="AI13" s="45" t="n"/>
    </row>
    <row r="14" ht="15" customHeight="1">
      <c r="A14" s="45" t="n"/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50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7" t="n"/>
      <c r="AH14" s="74" t="n"/>
      <c r="AI14" s="45" t="n"/>
    </row>
    <row r="15" ht="15" customHeight="1">
      <c r="A15" s="45" t="n"/>
      <c r="B15" s="50" t="n"/>
      <c r="C15" s="45" t="n"/>
      <c r="D15" s="45" t="n"/>
      <c r="E15" s="45" t="n"/>
      <c r="F15" s="45" t="n"/>
      <c r="G15" s="45" t="n"/>
      <c r="H15" s="45" t="n"/>
      <c r="I15" s="45" t="n"/>
      <c r="J15" s="45" t="n"/>
      <c r="K15" s="45" t="n"/>
      <c r="L15" s="45" t="n"/>
      <c r="M15" s="45" t="n"/>
      <c r="N15" s="41" t="n"/>
      <c r="O15" s="45" t="n"/>
      <c r="P15" s="47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7" t="n"/>
      <c r="AH15" s="74" t="n"/>
      <c r="AI15" s="45" t="n"/>
    </row>
    <row r="16" ht="15" customHeight="1">
      <c r="A16" s="45" t="n"/>
      <c r="B16" s="45" t="n"/>
      <c r="C16" s="45" t="n"/>
      <c r="D16" s="45" t="n"/>
      <c r="E16" s="45" t="n"/>
      <c r="F16" s="45" t="n"/>
      <c r="G16" s="45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7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7" t="n"/>
      <c r="AH16" s="74" t="n"/>
      <c r="AI16" s="45" t="n"/>
    </row>
    <row r="17" ht="15" customHeight="1">
      <c r="A17" s="45" t="n"/>
      <c r="B17" s="45" t="n"/>
      <c r="C17" s="45" t="n"/>
      <c r="D17" s="45" t="n"/>
      <c r="E17" s="45" t="n"/>
      <c r="F17" s="45" t="n"/>
      <c r="G17" s="45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7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7" t="n"/>
      <c r="AH17" s="74" t="n"/>
      <c r="AI17" s="45" t="n"/>
    </row>
    <row r="18" ht="15" customHeight="1">
      <c r="A18" s="45" t="n"/>
      <c r="B18" s="45" t="n"/>
      <c r="C18" s="45" t="n"/>
      <c r="D18" s="45" t="n"/>
      <c r="E18" s="45" t="n"/>
      <c r="F18" s="45" t="n"/>
      <c r="G18" s="45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7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7" t="n"/>
      <c r="AH18" s="74" t="n"/>
      <c r="AI18" s="45" t="n"/>
    </row>
    <row r="19" ht="15" customHeight="1">
      <c r="A19" s="45" t="n"/>
      <c r="B19" s="45" t="n"/>
      <c r="C19" s="45" t="n"/>
      <c r="D19" s="45" t="n"/>
      <c r="E19" s="45" t="n"/>
      <c r="F19" s="45" t="n"/>
      <c r="G19" s="45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7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7" t="n"/>
      <c r="AH19" s="74" t="n"/>
      <c r="AI19" s="45" t="n"/>
    </row>
    <row r="20" ht="15" customHeight="1">
      <c r="A20" s="45" t="n"/>
      <c r="B20" s="45" t="n"/>
      <c r="C20" s="45" t="n"/>
      <c r="D20" s="45" t="n"/>
      <c r="E20" s="45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7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7" t="n"/>
      <c r="AH20" s="74" t="n"/>
      <c r="AI20" s="45" t="n"/>
    </row>
    <row r="21" ht="15" customHeight="1">
      <c r="A21" s="45" t="n"/>
      <c r="B21" s="45" t="n"/>
      <c r="C21" s="45" t="n"/>
      <c r="D21" s="45" t="n"/>
      <c r="E21" s="45" t="n"/>
      <c r="F21" s="45" t="n"/>
      <c r="G21" s="45" t="n"/>
      <c r="H21" s="45" t="n"/>
      <c r="I21" s="45" t="n"/>
      <c r="J21" s="45" t="n"/>
      <c r="K21" s="45" t="n"/>
      <c r="L21" s="45" t="n"/>
      <c r="M21" s="45" t="n"/>
      <c r="N21" s="45" t="n"/>
      <c r="O21" s="45" t="n"/>
      <c r="P21" s="47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7" t="n"/>
      <c r="AH21" s="74" t="n"/>
      <c r="AI21" s="45" t="n"/>
    </row>
    <row r="22" ht="15" customHeight="1">
      <c r="A22" s="45" t="n"/>
      <c r="B22" s="45" t="n"/>
      <c r="C22" s="45" t="n"/>
      <c r="D22" s="45" t="n"/>
      <c r="E22" s="45" t="n"/>
      <c r="F22" s="45" t="n"/>
      <c r="G22" s="45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7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7" t="n"/>
      <c r="AH22" s="74" t="n"/>
      <c r="AI22" s="45" t="n"/>
    </row>
    <row r="23" ht="15" customHeight="1">
      <c r="A23" s="45" t="n"/>
      <c r="B23" s="50" t="n"/>
      <c r="C23" s="45" t="n"/>
      <c r="D23" s="45" t="n"/>
      <c r="E23" s="45" t="n"/>
      <c r="F23" s="45" t="n"/>
      <c r="G23" s="45" t="n"/>
      <c r="H23" s="45" t="n"/>
      <c r="I23" s="45" t="n"/>
      <c r="J23" s="45" t="n"/>
      <c r="K23" s="45" t="n"/>
      <c r="L23" s="45" t="n"/>
      <c r="M23" s="45" t="n"/>
      <c r="N23" s="41" t="n"/>
      <c r="O23" s="45" t="n"/>
      <c r="P23" s="47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7" t="n"/>
      <c r="AH23" s="74" t="n"/>
      <c r="AI23" s="45" t="n"/>
    </row>
    <row r="24" ht="15" customHeight="1">
      <c r="A24" s="45" t="n"/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7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7" t="n"/>
      <c r="AH24" s="74" t="n"/>
      <c r="AI24" s="45" t="n"/>
    </row>
    <row r="25" ht="15" customHeight="1">
      <c r="A25" s="45" t="n"/>
      <c r="B25" s="45" t="n"/>
      <c r="C25" s="45" t="n"/>
      <c r="D25" s="45" t="n"/>
      <c r="E25" s="45" t="n"/>
      <c r="F25" s="45" t="n"/>
      <c r="G25" s="45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7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7" t="n"/>
      <c r="AH25" s="74" t="n"/>
      <c r="AI25" s="45" t="n"/>
    </row>
    <row r="26" ht="15" customHeight="1">
      <c r="A26" s="45" t="n"/>
      <c r="B26" s="45" t="n"/>
      <c r="C26" s="45" t="n"/>
      <c r="D26" s="45" t="n"/>
      <c r="E26" s="45" t="n"/>
      <c r="F26" s="45" t="n"/>
      <c r="G26" s="45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7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7" t="n"/>
      <c r="AH26" s="74" t="n"/>
      <c r="AI26" s="45" t="n"/>
    </row>
    <row r="27" ht="15" customHeight="1">
      <c r="A27" s="45" t="n"/>
      <c r="B27" s="45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7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7" t="n"/>
      <c r="AH27" s="74" t="n"/>
      <c r="AI27" s="45" t="n"/>
    </row>
    <row r="28" ht="15" customHeight="1">
      <c r="A28" s="45" t="n"/>
      <c r="B28" s="45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1" t="n"/>
      <c r="O28" s="45" t="n"/>
      <c r="P28" s="47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7" t="n"/>
      <c r="AH28" s="74" t="n"/>
      <c r="AI28" s="45" t="n"/>
    </row>
    <row r="29" ht="15" customHeight="1">
      <c r="A29" s="45" t="n"/>
      <c r="B29" s="45" t="n"/>
      <c r="C29" s="45" t="n"/>
      <c r="D29" s="45" t="n"/>
      <c r="E29" s="45" t="n"/>
      <c r="F29" s="45" t="n"/>
      <c r="G29" s="45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7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7" t="n"/>
      <c r="AH29" s="74" t="n"/>
      <c r="AI29" s="45" t="n"/>
    </row>
    <row r="30" ht="15" customHeight="1">
      <c r="A30" s="54" t="n"/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45" t="n"/>
      <c r="N30" s="45" t="n"/>
      <c r="O30" s="45" t="n"/>
      <c r="P30" s="47" t="n"/>
      <c r="Q30" s="45" t="n"/>
      <c r="R30" s="45" t="n"/>
      <c r="S30" s="45" t="n"/>
      <c r="T30" s="45" t="n"/>
      <c r="U30" s="54" t="n"/>
      <c r="V30" s="54" t="n"/>
      <c r="W30" s="54" t="n"/>
      <c r="X30" s="54" t="n"/>
      <c r="Y30" s="54" t="n"/>
      <c r="Z30" s="54" t="n"/>
      <c r="AA30" s="54" t="n"/>
      <c r="AB30" s="54" t="n"/>
      <c r="AC30" s="54" t="n"/>
      <c r="AD30" s="54" t="n"/>
      <c r="AE30" s="54" t="n"/>
      <c r="AF30" s="54" t="n"/>
      <c r="AG30" s="52" t="n"/>
      <c r="AH30" s="60" t="n"/>
      <c r="AI30" s="54" t="n"/>
    </row>
    <row r="31" ht="15" customHeight="1">
      <c r="A31" s="54" t="n"/>
      <c r="B31" s="45" t="n"/>
      <c r="C31" s="47" t="n"/>
      <c r="D31" s="45" t="n"/>
      <c r="E31" s="45" t="n"/>
      <c r="F31" s="45" t="n"/>
      <c r="G31" s="45" t="n"/>
      <c r="H31" s="45" t="n"/>
      <c r="I31" s="45" t="n"/>
      <c r="J31" s="45" t="n"/>
      <c r="K31" s="45" t="n"/>
      <c r="L31" s="45" t="n"/>
      <c r="M31" s="45" t="n"/>
      <c r="N31" s="45" t="n"/>
      <c r="O31" s="45" t="n"/>
      <c r="P31" s="47" t="n"/>
      <c r="Q31" s="74" t="n"/>
      <c r="R31" s="45" t="n"/>
      <c r="S31" s="55" t="n"/>
      <c r="T31" s="45" t="n"/>
      <c r="U31" s="54" t="n"/>
      <c r="V31" s="54" t="n"/>
      <c r="W31" s="54" t="n"/>
      <c r="X31" s="54" t="n"/>
      <c r="Y31" s="54" t="n"/>
      <c r="Z31" s="54" t="n"/>
      <c r="AA31" s="54" t="n"/>
      <c r="AB31" s="54" t="n"/>
      <c r="AC31" s="54" t="n"/>
      <c r="AD31" s="54" t="n"/>
      <c r="AE31" s="54" t="n"/>
      <c r="AF31" s="54" t="n"/>
      <c r="AG31" s="52" t="n"/>
      <c r="AH31" s="60" t="n"/>
      <c r="AI31" s="54" t="n"/>
    </row>
    <row r="32" ht="15" customHeight="1">
      <c r="A32" s="54" t="n"/>
      <c r="B32" s="54" t="n"/>
      <c r="C32" s="45" t="n"/>
      <c r="D32" s="54" t="n"/>
      <c r="E32" s="54" t="n"/>
      <c r="F32" s="54" t="n"/>
      <c r="G32" s="54" t="n"/>
      <c r="H32" s="54" t="n"/>
      <c r="I32" s="54" t="n"/>
      <c r="J32" s="54" t="n"/>
      <c r="K32" s="56" t="n"/>
      <c r="L32" s="54" t="n"/>
      <c r="M32" s="54" t="n"/>
      <c r="N32" s="54" t="n"/>
      <c r="O32" s="54" t="n"/>
      <c r="P32" s="57" t="n"/>
      <c r="Q32" s="74" t="n"/>
      <c r="R32" s="54" t="n"/>
      <c r="S32" s="58" t="n"/>
      <c r="T32" s="54" t="n"/>
      <c r="U32" s="54" t="n"/>
      <c r="V32" s="54" t="n"/>
      <c r="W32" s="54" t="n"/>
      <c r="X32" s="54" t="n"/>
      <c r="Y32" s="54" t="n"/>
      <c r="Z32" s="54" t="n"/>
      <c r="AA32" s="54" t="n"/>
      <c r="AB32" s="54" t="n"/>
      <c r="AC32" s="54" t="n"/>
      <c r="AD32" s="54" t="n"/>
      <c r="AE32" s="54" t="n"/>
      <c r="AF32" s="54" t="n"/>
      <c r="AG32" s="52" t="n"/>
      <c r="AH32" s="60" t="n"/>
      <c r="AI32" s="54" t="n"/>
    </row>
    <row r="33" ht="15" customHeight="1">
      <c r="A33" s="54" t="n"/>
      <c r="B33" s="54" t="n"/>
      <c r="C33" s="45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7" t="n"/>
      <c r="Q33" s="74" t="n"/>
      <c r="R33" s="54" t="n"/>
      <c r="S33" s="54" t="n"/>
      <c r="T33" s="54" t="n"/>
      <c r="U33" s="54" t="n"/>
      <c r="V33" s="54" t="n"/>
      <c r="W33" s="54" t="n"/>
      <c r="X33" s="54" t="n"/>
      <c r="Y33" s="54" t="n"/>
      <c r="Z33" s="54" t="n"/>
      <c r="AA33" s="54" t="n"/>
      <c r="AB33" s="54" t="n"/>
      <c r="AC33" s="54" t="n"/>
      <c r="AD33" s="54" t="n"/>
      <c r="AE33" s="54" t="n"/>
      <c r="AF33" s="54" t="n"/>
      <c r="AG33" s="52" t="n"/>
      <c r="AH33" s="60" t="n"/>
      <c r="AI33" s="54" t="n"/>
    </row>
    <row r="34" ht="15" customHeight="1">
      <c r="A34" s="54" t="n"/>
      <c r="B34" s="54" t="n"/>
      <c r="C34" s="45" t="n"/>
      <c r="D34" s="54" t="n"/>
      <c r="E34" s="54" t="n"/>
      <c r="F34" s="54" t="n"/>
      <c r="G34" s="54" t="n"/>
      <c r="H34" s="54" t="n"/>
      <c r="I34" s="54" t="n"/>
      <c r="J34" s="54" t="n"/>
      <c r="K34" s="56" t="n"/>
      <c r="L34" s="54" t="n"/>
      <c r="M34" s="54" t="n"/>
      <c r="N34" s="54" t="n"/>
      <c r="O34" s="54" t="n"/>
      <c r="P34" s="57" t="n"/>
      <c r="Q34" s="74" t="n"/>
      <c r="R34" s="54" t="n"/>
      <c r="S34" s="58" t="n"/>
      <c r="T34" s="54" t="n"/>
      <c r="U34" s="54" t="n"/>
      <c r="V34" s="54" t="n"/>
      <c r="W34" s="54" t="n"/>
      <c r="X34" s="54" t="n"/>
      <c r="Y34" s="54" t="n"/>
      <c r="Z34" s="54" t="n"/>
      <c r="AA34" s="54" t="n"/>
      <c r="AB34" s="54" t="n"/>
      <c r="AC34" s="54" t="n"/>
      <c r="AD34" s="54" t="n"/>
      <c r="AE34" s="54" t="n"/>
      <c r="AF34" s="54" t="n"/>
      <c r="AG34" s="52" t="n"/>
      <c r="AH34" s="60" t="n"/>
      <c r="AI34" s="54" t="n"/>
    </row>
    <row r="35" ht="15" customHeight="1">
      <c r="A35" s="54" t="n"/>
      <c r="B35" s="54" t="n"/>
      <c r="C35" s="45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4" t="n"/>
      <c r="M35" s="54" t="n"/>
      <c r="N35" s="54" t="n"/>
      <c r="O35" s="54" t="n"/>
      <c r="P35" s="57" t="n"/>
      <c r="Q35" s="74" t="n"/>
      <c r="R35" s="54" t="n"/>
      <c r="S35" s="54" t="n"/>
      <c r="T35" s="54" t="n"/>
      <c r="U35" s="59" t="n"/>
      <c r="V35" s="54" t="n"/>
      <c r="W35" s="54" t="n"/>
      <c r="X35" s="54" t="n"/>
      <c r="Y35" s="54" t="n"/>
      <c r="Z35" s="54" t="n"/>
      <c r="AA35" s="54" t="n"/>
      <c r="AB35" s="54" t="n"/>
      <c r="AC35" s="54" t="n"/>
      <c r="AD35" s="54" t="n"/>
      <c r="AE35" s="54" t="n"/>
      <c r="AF35" s="54" t="n"/>
      <c r="AG35" s="52" t="n"/>
      <c r="AH35" s="60" t="n"/>
      <c r="AI35" s="54" t="n"/>
    </row>
    <row r="36" ht="15" customHeight="1">
      <c r="A36" s="54" t="n"/>
      <c r="B36" s="54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4" t="n"/>
      <c r="M36" s="54" t="n"/>
      <c r="N36" s="54" t="n"/>
      <c r="O36" s="54" t="n"/>
      <c r="P36" s="57" t="n"/>
      <c r="Q36" s="60" t="n"/>
      <c r="R36" s="54" t="n"/>
      <c r="S36" s="54" t="n"/>
      <c r="T36" s="54" t="n"/>
      <c r="U36" s="54" t="n"/>
      <c r="V36" s="54" t="n"/>
      <c r="W36" s="54" t="n"/>
      <c r="X36" s="54" t="n"/>
      <c r="Y36" s="54" t="n"/>
      <c r="Z36" s="54" t="n"/>
      <c r="AA36" s="54" t="n"/>
      <c r="AB36" s="54" t="n"/>
      <c r="AC36" s="54" t="n"/>
      <c r="AD36" s="54" t="n"/>
      <c r="AE36" s="54" t="n"/>
      <c r="AF36" s="54" t="n"/>
      <c r="AG36" s="54" t="n"/>
      <c r="AH36" s="60" t="n"/>
      <c r="AI36" s="54" t="n"/>
    </row>
    <row r="37" ht="15" customHeight="1">
      <c r="B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70" t="n"/>
      <c r="S37" s="66" t="n"/>
      <c r="T37" s="66" t="n"/>
      <c r="U37" s="65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73" t="n"/>
      <c r="AH37" s="72" t="n"/>
      <c r="AI37" s="66" t="n"/>
    </row>
    <row r="38" ht="15" customHeight="1">
      <c r="S38" s="66" t="n"/>
      <c r="T38" s="66" t="n"/>
      <c r="U38" s="65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73" t="n"/>
      <c r="AG38" s="70" t="n"/>
      <c r="AH38" s="72" t="n"/>
      <c r="AI38" s="66" t="n"/>
    </row>
    <row r="39" ht="15" customHeight="1">
      <c r="Q39" s="72" t="n"/>
      <c r="S39" s="66" t="n"/>
      <c r="T39" s="65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73" t="n"/>
      <c r="AG39" s="73" t="n"/>
      <c r="AH39" s="72" t="n"/>
      <c r="AI39" s="66" t="n"/>
    </row>
    <row r="40" ht="15" customHeight="1"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70" t="n"/>
      <c r="AH40" s="72" t="n"/>
      <c r="AI40" s="66" t="n"/>
    </row>
    <row r="41" ht="15" customHeight="1">
      <c r="J41" s="66" t="n"/>
      <c r="K41" s="66" t="n"/>
      <c r="L41" s="66" t="n"/>
      <c r="M41" s="66" t="n"/>
      <c r="N41" s="66" t="n"/>
      <c r="O41" s="66" t="n"/>
      <c r="P41" s="66" t="n"/>
      <c r="AE41" s="66" t="n"/>
      <c r="AF41" s="66" t="n"/>
      <c r="AG41" s="70" t="n"/>
      <c r="AH41" s="72" t="n"/>
      <c r="AI41" s="66" t="n"/>
    </row>
    <row r="42" ht="15" customHeight="1">
      <c r="AE42" s="66" t="n"/>
      <c r="AF42" s="73" t="n"/>
      <c r="AG42" s="70" t="n"/>
      <c r="AH42" s="72" t="n"/>
      <c r="AI42" s="66" t="n"/>
    </row>
    <row r="43" ht="15" customHeight="1">
      <c r="AE43" s="66" t="n"/>
      <c r="AF43" s="73" t="n"/>
      <c r="AG43" s="73" t="n"/>
      <c r="AH43" s="72" t="n"/>
      <c r="AI43" s="66" t="n"/>
    </row>
    <row r="44" ht="15" customHeight="1">
      <c r="A44" s="66" t="n"/>
      <c r="AF44" s="73" t="n"/>
      <c r="AG44" s="73" t="n"/>
    </row>
    <row r="45" ht="15" customHeight="1">
      <c r="A45" s="66" t="n"/>
      <c r="AG45" s="73" t="n"/>
    </row>
    <row r="46" ht="15" customHeight="1">
      <c r="AF46" s="73" t="n"/>
      <c r="AG46" s="73" t="n"/>
    </row>
    <row r="47" ht="15" customHeight="1">
      <c r="AG47" s="73" t="n"/>
    </row>
    <row r="48" ht="15" customHeight="1">
      <c r="S48" s="66" t="n"/>
      <c r="T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</row>
    <row r="49" ht="15" customHeight="1">
      <c r="R49" s="66" t="n"/>
      <c r="S49" s="66" t="n"/>
      <c r="T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G49" s="73" t="n"/>
    </row>
    <row r="50" ht="15" customHeight="1">
      <c r="R50" s="66" t="n"/>
    </row>
    <row r="51" ht="15" customFormat="1" customHeight="1" s="66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72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H51" s="72" t="n"/>
    </row>
    <row r="52" ht="15" customFormat="1" customHeight="1" s="66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72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H52" s="72" t="n"/>
    </row>
  </sheetData>
  <mergeCells count="17">
    <mergeCell ref="A1:D1"/>
    <mergeCell ref="AG2:AI2"/>
    <mergeCell ref="AA3:AB3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AL4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45" min="1" max="16384"/>
  </cols>
  <sheetData>
    <row r="1" ht="12" customFormat="1" customHeight="1" s="13">
      <c r="A1" s="251" t="inlineStr">
        <is>
          <t>PJ名</t>
        </is>
      </c>
      <c r="B1" s="225" t="n"/>
      <c r="C1" s="225" t="n"/>
      <c r="D1" s="226" t="n"/>
      <c r="E1" s="227">
        <f>IF(INDIRECT("変更履歴!E1")&lt;&gt;"",INDIRECT("変更履歴!E1"),"")</f>
        <v/>
      </c>
      <c r="F1" s="225" t="n"/>
      <c r="G1" s="225" t="n"/>
      <c r="H1" s="225" t="n"/>
      <c r="I1" s="225" t="n"/>
      <c r="J1" s="225" t="n"/>
      <c r="K1" s="225" t="n"/>
      <c r="L1" s="225" t="n"/>
      <c r="M1" s="225" t="n"/>
      <c r="N1" s="226" t="n"/>
      <c r="O1" s="253" t="inlineStr">
        <is>
          <t>成果物名</t>
        </is>
      </c>
      <c r="P1" s="229" t="n"/>
      <c r="Q1" s="229" t="n"/>
      <c r="R1" s="230" t="n"/>
      <c r="S1" s="254">
        <f>IF(INDIRECT("変更履歴!S1")&lt;&gt;"",INDIRECT("変更履歴!S1"),"")</f>
        <v/>
      </c>
      <c r="T1" s="229" t="n"/>
      <c r="U1" s="229" t="n"/>
      <c r="V1" s="229" t="n"/>
      <c r="W1" s="229" t="n"/>
      <c r="X1" s="229" t="n"/>
      <c r="Y1" s="229" t="n"/>
      <c r="Z1" s="230" t="n"/>
      <c r="AA1" s="251" t="inlineStr">
        <is>
          <t>作成</t>
        </is>
      </c>
      <c r="AB1" s="226" t="n"/>
      <c r="AC1" s="232">
        <f>IF(INDIRECT("変更履歴!AC1")&lt;&gt;"",INDIRECT("変更履歴!AC1"),"")</f>
        <v/>
      </c>
      <c r="AD1" s="225" t="n"/>
      <c r="AE1" s="225" t="n"/>
      <c r="AF1" s="226" t="n"/>
      <c r="AG1" s="252">
        <f>IF(INDIRECT("変更履歴!AG1")&lt;&gt;"",INDIRECT("変更履歴!AG1"),"")</f>
        <v/>
      </c>
      <c r="AH1" s="225" t="n"/>
      <c r="AI1" s="226" t="n"/>
      <c r="AJ1" s="9" t="n"/>
      <c r="AK1" s="10" t="n"/>
    </row>
    <row r="2" ht="12" customFormat="1" customHeight="1" s="13">
      <c r="A2" s="251" t="inlineStr">
        <is>
          <t>システム名</t>
        </is>
      </c>
      <c r="B2" s="225" t="n"/>
      <c r="C2" s="225" t="n"/>
      <c r="D2" s="226" t="n"/>
      <c r="E2" s="227">
        <f>IF(INDIRECT("変更履歴!E2")&lt;&gt;"",INDIRECT("変更履歴!E2"),"")</f>
        <v/>
      </c>
      <c r="F2" s="225" t="n"/>
      <c r="G2" s="225" t="n"/>
      <c r="H2" s="225" t="n"/>
      <c r="I2" s="225" t="n"/>
      <c r="J2" s="225" t="n"/>
      <c r="K2" s="225" t="n"/>
      <c r="L2" s="225" t="n"/>
      <c r="M2" s="225" t="n"/>
      <c r="N2" s="226" t="n"/>
      <c r="O2" s="234" t="n"/>
      <c r="R2" s="235" t="n"/>
      <c r="S2" s="234" t="n"/>
      <c r="Z2" s="235" t="n"/>
      <c r="AA2" s="251" t="inlineStr">
        <is>
          <t>変更</t>
        </is>
      </c>
      <c r="AB2" s="226" t="n"/>
      <c r="AC2" s="232">
        <f>IF(INDIRECT("変更履歴!AC2")&lt;&gt;"",INDIRECT("変更履歴!AC2"),"")</f>
        <v/>
      </c>
      <c r="AD2" s="225" t="n"/>
      <c r="AE2" s="225" t="n"/>
      <c r="AF2" s="226" t="n"/>
      <c r="AG2" s="252">
        <f>IF(INDIRECT("変更履歴!AG2")&lt;&gt;"",INDIRECT("変更履歴!AG2"),"")</f>
        <v/>
      </c>
      <c r="AH2" s="225" t="n"/>
      <c r="AI2" s="226" t="n"/>
      <c r="AJ2" s="9" t="n"/>
      <c r="AK2" s="9" t="n"/>
    </row>
    <row r="3" ht="12" customFormat="1" customHeight="1" s="13">
      <c r="A3" s="251" t="inlineStr">
        <is>
          <t>サブシステム名</t>
        </is>
      </c>
      <c r="B3" s="225" t="n"/>
      <c r="C3" s="225" t="n"/>
      <c r="D3" s="226" t="n"/>
      <c r="E3" s="227">
        <f>IF(INDIRECT("変更履歴!E3")&lt;&gt;"",INDIRECT("変更履歴!E3"),"")</f>
        <v/>
      </c>
      <c r="F3" s="225" t="n"/>
      <c r="G3" s="225" t="n"/>
      <c r="H3" s="225" t="n"/>
      <c r="I3" s="225" t="n"/>
      <c r="J3" s="225" t="n"/>
      <c r="K3" s="225" t="n"/>
      <c r="L3" s="225" t="n"/>
      <c r="M3" s="225" t="n"/>
      <c r="N3" s="226" t="n"/>
      <c r="O3" s="236" t="n"/>
      <c r="P3" s="237" t="n"/>
      <c r="Q3" s="237" t="n"/>
      <c r="R3" s="238" t="n"/>
      <c r="S3" s="236" t="n"/>
      <c r="T3" s="237" t="n"/>
      <c r="U3" s="237" t="n"/>
      <c r="V3" s="237" t="n"/>
      <c r="W3" s="237" t="n"/>
      <c r="X3" s="237" t="n"/>
      <c r="Y3" s="237" t="n"/>
      <c r="Z3" s="238" t="n"/>
      <c r="AA3" s="251" t="n"/>
      <c r="AB3" s="226" t="n"/>
      <c r="AC3" s="232">
        <f>IF(INDIRECT("変更履歴!AC3")&lt;&gt;"",INDIRECT("変更履歴!AC3"),"")</f>
        <v/>
      </c>
      <c r="AD3" s="225" t="n"/>
      <c r="AE3" s="225" t="n"/>
      <c r="AF3" s="226" t="n"/>
      <c r="AG3" s="252">
        <f>IF(INDIRECT("変更履歴!AG3")&lt;&gt;"",INDIRECT("変更履歴!AG3"),"")</f>
        <v/>
      </c>
      <c r="AH3" s="225" t="n"/>
      <c r="AI3" s="226" t="n"/>
      <c r="AJ3" s="9" t="n"/>
      <c r="AK3" s="9" t="n"/>
    </row>
    <row r="4" ht="12" customHeight="1"/>
    <row r="5" ht="12" customFormat="1" customHeight="1" s="54">
      <c r="B5" s="89" t="inlineStr">
        <is>
          <t>コンポーネントID</t>
        </is>
      </c>
      <c r="C5" s="225" t="n"/>
      <c r="D5" s="225" t="n"/>
      <c r="E5" s="226" t="n"/>
      <c r="F5" s="206" t="inlineStr">
        <is>
          <t>CC0001</t>
        </is>
      </c>
      <c r="G5" s="225" t="n"/>
      <c r="H5" s="226" t="n"/>
      <c r="I5" s="89" t="inlineStr">
        <is>
          <t>コンポーネント名</t>
        </is>
      </c>
      <c r="J5" s="225" t="n"/>
      <c r="K5" s="225" t="n"/>
      <c r="L5" s="226" t="n"/>
      <c r="M5" s="206" t="inlineStr">
        <is>
          <t>事前承認要否判定</t>
        </is>
      </c>
      <c r="N5" s="225" t="n"/>
      <c r="O5" s="225" t="n"/>
      <c r="P5" s="225" t="n"/>
      <c r="Q5" s="225" t="n"/>
      <c r="R5" s="225" t="n"/>
      <c r="S5" s="225" t="n"/>
      <c r="T5" s="225" t="n"/>
      <c r="U5" s="226" t="n"/>
      <c r="V5" s="89" t="inlineStr">
        <is>
          <t>処理名</t>
        </is>
      </c>
      <c r="W5" s="225" t="n"/>
      <c r="X5" s="225" t="n"/>
      <c r="Y5" s="226" t="n"/>
      <c r="Z5" s="206" t="inlineStr">
        <is>
          <t>事前承認要否判定</t>
        </is>
      </c>
      <c r="AA5" s="225" t="n"/>
      <c r="AB5" s="225" t="n"/>
      <c r="AC5" s="225" t="n"/>
      <c r="AD5" s="225" t="n"/>
      <c r="AE5" s="225" t="n"/>
      <c r="AF5" s="225" t="n"/>
      <c r="AG5" s="225" t="n"/>
      <c r="AH5" s="226" t="n"/>
      <c r="AI5" s="45" t="n"/>
      <c r="AJ5" s="45" t="n"/>
      <c r="AK5" s="45" t="n"/>
      <c r="AL5" s="45" t="n"/>
    </row>
    <row r="6" ht="12" customFormat="1" customHeight="1" s="54">
      <c r="B6" s="89" t="inlineStr">
        <is>
          <t>処理説明</t>
        </is>
      </c>
      <c r="C6" s="225" t="n"/>
      <c r="D6" s="225" t="n"/>
      <c r="E6" s="225" t="n"/>
      <c r="F6" s="225" t="n"/>
      <c r="G6" s="225" t="n"/>
      <c r="H6" s="225" t="n"/>
      <c r="I6" s="225" t="n"/>
      <c r="J6" s="225" t="n"/>
      <c r="K6" s="225" t="n"/>
      <c r="L6" s="225" t="n"/>
      <c r="M6" s="225" t="n"/>
      <c r="N6" s="225" t="n"/>
      <c r="O6" s="225" t="n"/>
      <c r="P6" s="225" t="n"/>
      <c r="Q6" s="225" t="n"/>
      <c r="R6" s="225" t="n"/>
      <c r="S6" s="225" t="n"/>
      <c r="T6" s="225" t="n"/>
      <c r="U6" s="225" t="n"/>
      <c r="V6" s="225" t="n"/>
      <c r="W6" s="225" t="n"/>
      <c r="X6" s="225" t="n"/>
      <c r="Y6" s="225" t="n"/>
      <c r="Z6" s="225" t="n"/>
      <c r="AA6" s="225" t="n"/>
      <c r="AB6" s="225" t="n"/>
      <c r="AC6" s="225" t="n"/>
      <c r="AD6" s="225" t="n"/>
      <c r="AE6" s="225" t="n"/>
      <c r="AF6" s="225" t="n"/>
      <c r="AG6" s="225" t="n"/>
      <c r="AH6" s="226" t="n"/>
      <c r="AI6" s="45" t="n"/>
      <c r="AJ6" s="45" t="n"/>
      <c r="AK6" s="45" t="n"/>
    </row>
    <row r="7" ht="12" customFormat="1" customHeight="1" s="54">
      <c r="B7" s="250" t="inlineStr">
        <is>
          <t>1.処理概要
　出張申請の予定費用合計、申請者の役職コード、費用負担区分を入力として、上長の事前承認が必要か否かを判定し、申請状態コードを返却する。
2.注意事項
　本コンポーネントは出張申請登録（BTS01）から呼び出す。予定費用合計は呼び元で予定費用明細（BT_PLANNED_COST.planned_amount）を集計した値を渡すこと。</t>
        </is>
      </c>
      <c r="C7" s="229" t="n"/>
      <c r="D7" s="229" t="n"/>
      <c r="E7" s="229" t="n"/>
      <c r="F7" s="229" t="n"/>
      <c r="G7" s="229" t="n"/>
      <c r="H7" s="229" t="n"/>
      <c r="I7" s="229" t="n"/>
      <c r="J7" s="229" t="n"/>
      <c r="K7" s="229" t="n"/>
      <c r="L7" s="229" t="n"/>
      <c r="M7" s="229" t="n"/>
      <c r="N7" s="229" t="n"/>
      <c r="O7" s="229" t="n"/>
      <c r="P7" s="229" t="n"/>
      <c r="Q7" s="229" t="n"/>
      <c r="R7" s="229" t="n"/>
      <c r="S7" s="229" t="n"/>
      <c r="T7" s="229" t="n"/>
      <c r="U7" s="229" t="n"/>
      <c r="V7" s="229" t="n"/>
      <c r="W7" s="229" t="n"/>
      <c r="X7" s="229" t="n"/>
      <c r="Y7" s="229" t="n"/>
      <c r="Z7" s="229" t="n"/>
      <c r="AA7" s="229" t="n"/>
      <c r="AB7" s="229" t="n"/>
      <c r="AC7" s="229" t="n"/>
      <c r="AD7" s="229" t="n"/>
      <c r="AE7" s="229" t="n"/>
      <c r="AF7" s="229" t="n"/>
      <c r="AG7" s="229" t="n"/>
      <c r="AH7" s="230" t="n"/>
    </row>
    <row r="8" ht="12" customFormat="1" customHeight="1" s="54">
      <c r="B8" s="234" t="n"/>
      <c r="AH8" s="235" t="n"/>
    </row>
    <row r="9" ht="12" customFormat="1" customHeight="1" s="45">
      <c r="B9" s="234" t="n"/>
      <c r="AH9" s="235" t="n"/>
    </row>
    <row r="10" ht="12" customHeight="1">
      <c r="B10" s="234" t="n"/>
      <c r="AH10" s="235" t="n"/>
    </row>
    <row r="11" ht="12" customHeight="1">
      <c r="B11" s="234" t="n"/>
      <c r="AH11" s="235" t="n"/>
    </row>
    <row r="12" ht="12" customHeight="1">
      <c r="B12" s="236" t="n"/>
      <c r="C12" s="237" t="n"/>
      <c r="D12" s="237" t="n"/>
      <c r="E12" s="237" t="n"/>
      <c r="F12" s="237" t="n"/>
      <c r="G12" s="237" t="n"/>
      <c r="H12" s="237" t="n"/>
      <c r="I12" s="237" t="n"/>
      <c r="J12" s="237" t="n"/>
      <c r="K12" s="237" t="n"/>
      <c r="L12" s="237" t="n"/>
      <c r="M12" s="237" t="n"/>
      <c r="N12" s="237" t="n"/>
      <c r="O12" s="237" t="n"/>
      <c r="P12" s="237" t="n"/>
      <c r="Q12" s="237" t="n"/>
      <c r="R12" s="237" t="n"/>
      <c r="S12" s="237" t="n"/>
      <c r="T12" s="237" t="n"/>
      <c r="U12" s="237" t="n"/>
      <c r="V12" s="237" t="n"/>
      <c r="W12" s="237" t="n"/>
      <c r="X12" s="237" t="n"/>
      <c r="Y12" s="237" t="n"/>
      <c r="Z12" s="237" t="n"/>
      <c r="AA12" s="237" t="n"/>
      <c r="AB12" s="237" t="n"/>
      <c r="AC12" s="237" t="n"/>
      <c r="AD12" s="237" t="n"/>
      <c r="AE12" s="237" t="n"/>
      <c r="AF12" s="237" t="n"/>
      <c r="AG12" s="237" t="n"/>
      <c r="AH12" s="238" t="n"/>
    </row>
    <row r="13" ht="12" customHeight="1">
      <c r="B13" s="89" t="inlineStr">
        <is>
          <t>クラス名</t>
        </is>
      </c>
      <c r="C13" s="225" t="n"/>
      <c r="D13" s="225" t="n"/>
      <c r="E13" s="226" t="n"/>
      <c r="F13" s="206" t="inlineStr">
        <is>
          <t>PreApprovalDecision</t>
        </is>
      </c>
      <c r="G13" s="225" t="n"/>
      <c r="H13" s="225" t="n"/>
      <c r="I13" s="225" t="n"/>
      <c r="J13" s="225" t="n"/>
      <c r="K13" s="225" t="n"/>
      <c r="L13" s="225" t="n"/>
      <c r="M13" s="225" t="n"/>
      <c r="N13" s="225" t="n"/>
      <c r="O13" s="225" t="n"/>
      <c r="P13" s="226" t="n"/>
      <c r="Q13" s="89" t="inlineStr">
        <is>
          <t>メソッド名</t>
        </is>
      </c>
      <c r="R13" s="225" t="n"/>
      <c r="S13" s="225" t="n"/>
      <c r="T13" s="226" t="n"/>
      <c r="U13" s="206" t="inlineStr">
        <is>
          <t>needsPreApproval</t>
        </is>
      </c>
      <c r="V13" s="225" t="n"/>
      <c r="W13" s="225" t="n"/>
      <c r="X13" s="225" t="n"/>
      <c r="Y13" s="225" t="n"/>
      <c r="Z13" s="225" t="n"/>
      <c r="AA13" s="225" t="n"/>
      <c r="AB13" s="225" t="n"/>
      <c r="AC13" s="225" t="n"/>
      <c r="AD13" s="225" t="n"/>
      <c r="AE13" s="225" t="n"/>
      <c r="AF13" s="225" t="n"/>
      <c r="AG13" s="225" t="n"/>
      <c r="AH13" s="226" t="n"/>
    </row>
    <row r="14" ht="12" customHeight="1">
      <c r="B14" s="89" t="inlineStr">
        <is>
          <t>入出力パラメータ</t>
        </is>
      </c>
      <c r="C14" s="225" t="n"/>
      <c r="D14" s="225" t="n"/>
      <c r="E14" s="225" t="n"/>
      <c r="F14" s="225" t="n"/>
      <c r="G14" s="225" t="n"/>
      <c r="H14" s="225" t="n"/>
      <c r="I14" s="225" t="n"/>
      <c r="J14" s="225" t="n"/>
      <c r="K14" s="225" t="n"/>
      <c r="L14" s="225" t="n"/>
      <c r="M14" s="225" t="n"/>
      <c r="N14" s="225" t="n"/>
      <c r="O14" s="225" t="n"/>
      <c r="P14" s="225" t="n"/>
      <c r="Q14" s="225" t="n"/>
      <c r="R14" s="225" t="n"/>
      <c r="S14" s="225" t="n"/>
      <c r="T14" s="225" t="n"/>
      <c r="U14" s="225" t="n"/>
      <c r="V14" s="225" t="n"/>
      <c r="W14" s="225" t="n"/>
      <c r="X14" s="225" t="n"/>
      <c r="Y14" s="225" t="n"/>
      <c r="Z14" s="225" t="n"/>
      <c r="AA14" s="225" t="n"/>
      <c r="AB14" s="225" t="n"/>
      <c r="AC14" s="225" t="n"/>
      <c r="AD14" s="225" t="n"/>
      <c r="AE14" s="225" t="n"/>
      <c r="AF14" s="225" t="n"/>
      <c r="AG14" s="225" t="n"/>
      <c r="AH14" s="226" t="n"/>
    </row>
    <row r="15" ht="12" customHeight="1">
      <c r="B15" s="89" t="inlineStr">
        <is>
          <t>項目名</t>
        </is>
      </c>
      <c r="C15" s="225" t="n"/>
      <c r="D15" s="225" t="n"/>
      <c r="E15" s="225" t="n"/>
      <c r="F15" s="225" t="n"/>
      <c r="G15" s="225" t="n"/>
      <c r="H15" s="225" t="n"/>
      <c r="I15" s="226" t="n"/>
      <c r="J15" s="89" t="inlineStr">
        <is>
          <t>I/O</t>
        </is>
      </c>
      <c r="K15" s="226" t="n"/>
      <c r="L15" s="89" t="inlineStr">
        <is>
          <t>型</t>
        </is>
      </c>
      <c r="M15" s="225" t="n"/>
      <c r="N15" s="226" t="n"/>
      <c r="O15" s="89" t="inlineStr">
        <is>
          <t>必須</t>
        </is>
      </c>
      <c r="P15" s="226" t="n"/>
      <c r="Q15" s="89" t="inlineStr">
        <is>
          <t>項目説明</t>
        </is>
      </c>
      <c r="R15" s="225" t="n"/>
      <c r="S15" s="225" t="n"/>
      <c r="T15" s="225" t="n"/>
      <c r="U15" s="225" t="n"/>
      <c r="V15" s="225" t="n"/>
      <c r="W15" s="225" t="n"/>
      <c r="X15" s="225" t="n"/>
      <c r="Y15" s="225" t="n"/>
      <c r="Z15" s="225" t="n"/>
      <c r="AA15" s="225" t="n"/>
      <c r="AB15" s="225" t="n"/>
      <c r="AC15" s="225" t="n"/>
      <c r="AD15" s="225" t="n"/>
      <c r="AE15" s="225" t="n"/>
      <c r="AF15" s="225" t="n"/>
      <c r="AG15" s="225" t="n"/>
      <c r="AH15" s="226" t="n"/>
    </row>
    <row r="16" ht="12" customHeight="1">
      <c r="B16" s="206" t="inlineStr">
        <is>
          <t>予定費用合計</t>
        </is>
      </c>
      <c r="C16" s="225" t="n"/>
      <c r="D16" s="225" t="n"/>
      <c r="E16" s="225" t="n"/>
      <c r="F16" s="225" t="n"/>
      <c r="G16" s="225" t="n"/>
      <c r="H16" s="225" t="n"/>
      <c r="I16" s="226" t="n"/>
      <c r="J16" s="206" t="inlineStr">
        <is>
          <t>I</t>
        </is>
      </c>
      <c r="K16" s="226" t="n"/>
      <c r="L16" s="206" t="inlineStr">
        <is>
          <t>Integer</t>
        </is>
      </c>
      <c r="M16" s="225" t="n"/>
      <c r="N16" s="226" t="n"/>
      <c r="O16" s="255" t="inlineStr">
        <is>
          <t>○</t>
        </is>
      </c>
      <c r="P16" s="226" t="n"/>
      <c r="Q16" s="206" t="inlineStr">
        <is>
          <t>出張予定費用明細のplanned_amountの合計（円）</t>
        </is>
      </c>
      <c r="R16" s="225" t="n"/>
      <c r="S16" s="225" t="n"/>
      <c r="T16" s="225" t="n"/>
      <c r="U16" s="225" t="n"/>
      <c r="V16" s="225" t="n"/>
      <c r="W16" s="225" t="n"/>
      <c r="X16" s="225" t="n"/>
      <c r="Y16" s="225" t="n"/>
      <c r="Z16" s="225" t="n"/>
      <c r="AA16" s="225" t="n"/>
      <c r="AB16" s="225" t="n"/>
      <c r="AC16" s="225" t="n"/>
      <c r="AD16" s="225" t="n"/>
      <c r="AE16" s="225" t="n"/>
      <c r="AF16" s="225" t="n"/>
      <c r="AG16" s="225" t="n"/>
      <c r="AH16" s="226" t="n"/>
    </row>
    <row r="17" ht="12" customHeight="1">
      <c r="B17" s="206" t="inlineStr">
        <is>
          <t>役職コード</t>
        </is>
      </c>
      <c r="C17" s="225" t="n"/>
      <c r="D17" s="225" t="n"/>
      <c r="E17" s="225" t="n"/>
      <c r="F17" s="225" t="n"/>
      <c r="G17" s="225" t="n"/>
      <c r="H17" s="225" t="n"/>
      <c r="I17" s="226" t="n"/>
      <c r="J17" s="206" t="inlineStr">
        <is>
          <t>I</t>
        </is>
      </c>
      <c r="K17" s="226" t="n"/>
      <c r="L17" s="206" t="inlineStr">
        <is>
          <t>String</t>
        </is>
      </c>
      <c r="M17" s="225" t="n"/>
      <c r="N17" s="226" t="n"/>
      <c r="O17" s="255" t="inlineStr">
        <is>
          <t>○</t>
        </is>
      </c>
      <c r="P17" s="226" t="n"/>
      <c r="Q17" s="206" t="inlineStr">
        <is>
          <t>申請者の役職コード（コードC0040001）</t>
        </is>
      </c>
      <c r="R17" s="225" t="n"/>
      <c r="S17" s="225" t="n"/>
      <c r="T17" s="225" t="n"/>
      <c r="U17" s="225" t="n"/>
      <c r="V17" s="225" t="n"/>
      <c r="W17" s="225" t="n"/>
      <c r="X17" s="225" t="n"/>
      <c r="Y17" s="225" t="n"/>
      <c r="Z17" s="225" t="n"/>
      <c r="AA17" s="225" t="n"/>
      <c r="AB17" s="225" t="n"/>
      <c r="AC17" s="225" t="n"/>
      <c r="AD17" s="225" t="n"/>
      <c r="AE17" s="225" t="n"/>
      <c r="AF17" s="225" t="n"/>
      <c r="AG17" s="225" t="n"/>
      <c r="AH17" s="226" t="n"/>
    </row>
    <row r="18" ht="12" customHeight="1">
      <c r="B18" s="206" t="inlineStr">
        <is>
          <t>費用負担区分</t>
        </is>
      </c>
      <c r="C18" s="225" t="n"/>
      <c r="D18" s="225" t="n"/>
      <c r="E18" s="225" t="n"/>
      <c r="F18" s="225" t="n"/>
      <c r="G18" s="225" t="n"/>
      <c r="H18" s="225" t="n"/>
      <c r="I18" s="226" t="n"/>
      <c r="J18" s="206" t="inlineStr">
        <is>
          <t>I</t>
        </is>
      </c>
      <c r="K18" s="226" t="n"/>
      <c r="L18" s="206" t="inlineStr">
        <is>
          <t>String</t>
        </is>
      </c>
      <c r="M18" s="225" t="n"/>
      <c r="N18" s="226" t="n"/>
      <c r="O18" s="255" t="inlineStr">
        <is>
          <t>○</t>
        </is>
      </c>
      <c r="P18" s="226" t="n"/>
      <c r="Q18" s="206" t="inlineStr">
        <is>
          <t>費用負担区分（コードC0020001）</t>
        </is>
      </c>
      <c r="R18" s="225" t="n"/>
      <c r="S18" s="225" t="n"/>
      <c r="T18" s="225" t="n"/>
      <c r="U18" s="225" t="n"/>
      <c r="V18" s="225" t="n"/>
      <c r="W18" s="225" t="n"/>
      <c r="X18" s="225" t="n"/>
      <c r="Y18" s="225" t="n"/>
      <c r="Z18" s="225" t="n"/>
      <c r="AA18" s="225" t="n"/>
      <c r="AB18" s="225" t="n"/>
      <c r="AC18" s="225" t="n"/>
      <c r="AD18" s="225" t="n"/>
      <c r="AE18" s="225" t="n"/>
      <c r="AF18" s="225" t="n"/>
      <c r="AG18" s="225" t="n"/>
      <c r="AH18" s="226" t="n"/>
    </row>
    <row r="19" ht="12" customHeight="1">
      <c r="B19" s="206" t="inlineStr">
        <is>
          <t>申請状態コード</t>
        </is>
      </c>
      <c r="C19" s="225" t="n"/>
      <c r="D19" s="225" t="n"/>
      <c r="E19" s="225" t="n"/>
      <c r="F19" s="225" t="n"/>
      <c r="G19" s="225" t="n"/>
      <c r="H19" s="225" t="n"/>
      <c r="I19" s="226" t="n"/>
      <c r="J19" s="206" t="inlineStr">
        <is>
          <t>O</t>
        </is>
      </c>
      <c r="K19" s="226" t="n"/>
      <c r="L19" s="206" t="inlineStr">
        <is>
          <t>String</t>
        </is>
      </c>
      <c r="M19" s="225" t="n"/>
      <c r="N19" s="226" t="n"/>
      <c r="O19" s="255" t="inlineStr">
        <is>
          <t>-</t>
        </is>
      </c>
      <c r="P19" s="226" t="n"/>
      <c r="Q19" s="206" t="inlineStr">
        <is>
          <t>事前承認要否の判定結果。'20'：事前承認待ち／'21'：事前承認不要</t>
        </is>
      </c>
      <c r="R19" s="225" t="n"/>
      <c r="S19" s="225" t="n"/>
      <c r="T19" s="225" t="n"/>
      <c r="U19" s="225" t="n"/>
      <c r="V19" s="225" t="n"/>
      <c r="W19" s="225" t="n"/>
      <c r="X19" s="225" t="n"/>
      <c r="Y19" s="225" t="n"/>
      <c r="Z19" s="225" t="n"/>
      <c r="AA19" s="225" t="n"/>
      <c r="AB19" s="225" t="n"/>
      <c r="AC19" s="225" t="n"/>
      <c r="AD19" s="225" t="n"/>
      <c r="AE19" s="225" t="n"/>
      <c r="AF19" s="225" t="n"/>
      <c r="AG19" s="225" t="n"/>
      <c r="AH19" s="226" t="n"/>
    </row>
    <row r="20" ht="12" customHeight="1">
      <c r="B20" s="89" t="inlineStr">
        <is>
          <t>CRUD一覧</t>
        </is>
      </c>
      <c r="C20" s="225" t="n"/>
      <c r="D20" s="225" t="n"/>
      <c r="E20" s="225" t="n"/>
      <c r="F20" s="225" t="n"/>
      <c r="G20" s="225" t="n"/>
      <c r="H20" s="225" t="n"/>
      <c r="I20" s="225" t="n"/>
      <c r="J20" s="225" t="n"/>
      <c r="K20" s="225" t="n"/>
      <c r="L20" s="225" t="n"/>
      <c r="M20" s="225" t="n"/>
      <c r="N20" s="225" t="n"/>
      <c r="O20" s="225" t="n"/>
      <c r="P20" s="225" t="n"/>
      <c r="Q20" s="225" t="n"/>
      <c r="R20" s="225" t="n"/>
      <c r="S20" s="225" t="n"/>
      <c r="T20" s="225" t="n"/>
      <c r="U20" s="225" t="n"/>
      <c r="V20" s="225" t="n"/>
      <c r="W20" s="225" t="n"/>
      <c r="X20" s="225" t="n"/>
      <c r="Y20" s="225" t="n"/>
      <c r="Z20" s="225" t="n"/>
      <c r="AA20" s="225" t="n"/>
      <c r="AB20" s="225" t="n"/>
      <c r="AC20" s="225" t="n"/>
      <c r="AD20" s="225" t="n"/>
      <c r="AE20" s="225" t="n"/>
      <c r="AF20" s="225" t="n"/>
      <c r="AG20" s="225" t="n"/>
      <c r="AH20" s="226" t="n"/>
    </row>
    <row r="21" ht="12" customHeight="1">
      <c r="B21" s="89" t="inlineStr">
        <is>
          <t>テーブル名</t>
        </is>
      </c>
      <c r="C21" s="225" t="n"/>
      <c r="D21" s="225" t="n"/>
      <c r="E21" s="225" t="n"/>
      <c r="F21" s="225" t="n"/>
      <c r="G21" s="225" t="n"/>
      <c r="H21" s="225" t="n"/>
      <c r="I21" s="226" t="n"/>
      <c r="J21" s="89" t="inlineStr">
        <is>
          <t>C</t>
        </is>
      </c>
      <c r="K21" s="89" t="inlineStr">
        <is>
          <t>R</t>
        </is>
      </c>
      <c r="L21" s="89" t="inlineStr">
        <is>
          <t>U</t>
        </is>
      </c>
      <c r="M21" s="89" t="inlineStr">
        <is>
          <t>D</t>
        </is>
      </c>
      <c r="N21" s="89" t="inlineStr">
        <is>
          <t>備考</t>
        </is>
      </c>
      <c r="O21" s="225" t="n"/>
      <c r="P21" s="225" t="n"/>
      <c r="Q21" s="225" t="n"/>
      <c r="R21" s="225" t="n"/>
      <c r="S21" s="225" t="n"/>
      <c r="T21" s="225" t="n"/>
      <c r="U21" s="225" t="n"/>
      <c r="V21" s="225" t="n"/>
      <c r="W21" s="225" t="n"/>
      <c r="X21" s="225" t="n"/>
      <c r="Y21" s="225" t="n"/>
      <c r="Z21" s="225" t="n"/>
      <c r="AA21" s="225" t="n"/>
      <c r="AB21" s="225" t="n"/>
      <c r="AC21" s="225" t="n"/>
      <c r="AD21" s="225" t="n"/>
      <c r="AE21" s="225" t="n"/>
      <c r="AF21" s="225" t="n"/>
      <c r="AG21" s="225" t="n"/>
      <c r="AH21" s="226" t="n"/>
    </row>
    <row r="22" ht="12" customHeight="1">
      <c r="B22" s="206" t="inlineStr">
        <is>
          <t>-</t>
        </is>
      </c>
      <c r="C22" s="225" t="n"/>
      <c r="D22" s="225" t="n"/>
      <c r="E22" s="225" t="n"/>
      <c r="F22" s="225" t="n"/>
      <c r="G22" s="225" t="n"/>
      <c r="H22" s="225" t="n"/>
      <c r="I22" s="226" t="n"/>
      <c r="J22" s="207" t="inlineStr">
        <is>
          <t>-</t>
        </is>
      </c>
      <c r="K22" s="207" t="inlineStr">
        <is>
          <t>-</t>
        </is>
      </c>
      <c r="L22" s="207" t="inlineStr">
        <is>
          <t>-</t>
        </is>
      </c>
      <c r="M22" s="207" t="inlineStr">
        <is>
          <t>-</t>
        </is>
      </c>
      <c r="N22" s="206" t="inlineStr">
        <is>
          <t>DBアクセスなし</t>
        </is>
      </c>
      <c r="O22" s="225" t="n"/>
      <c r="P22" s="225" t="n"/>
      <c r="Q22" s="225" t="n"/>
      <c r="R22" s="225" t="n"/>
      <c r="S22" s="225" t="n"/>
      <c r="T22" s="225" t="n"/>
      <c r="U22" s="225" t="n"/>
      <c r="V22" s="225" t="n"/>
      <c r="W22" s="225" t="n"/>
      <c r="X22" s="225" t="n"/>
      <c r="Y22" s="225" t="n"/>
      <c r="Z22" s="225" t="n"/>
      <c r="AA22" s="225" t="n"/>
      <c r="AB22" s="225" t="n"/>
      <c r="AC22" s="225" t="n"/>
      <c r="AD22" s="225" t="n"/>
      <c r="AE22" s="225" t="n"/>
      <c r="AF22" s="225" t="n"/>
      <c r="AG22" s="225" t="n"/>
      <c r="AH22" s="226" t="n"/>
    </row>
    <row r="23" ht="12" customHeight="1">
      <c r="B23" s="206" t="n"/>
      <c r="C23" s="225" t="n"/>
      <c r="D23" s="225" t="n"/>
      <c r="E23" s="225" t="n"/>
      <c r="F23" s="225" t="n"/>
      <c r="G23" s="225" t="n"/>
      <c r="H23" s="225" t="n"/>
      <c r="I23" s="226" t="n"/>
      <c r="J23" s="207" t="n"/>
      <c r="K23" s="207" t="n"/>
      <c r="L23" s="207" t="n"/>
      <c r="M23" s="207" t="n"/>
      <c r="N23" s="206" t="n"/>
      <c r="O23" s="225" t="n"/>
      <c r="P23" s="225" t="n"/>
      <c r="Q23" s="225" t="n"/>
      <c r="R23" s="225" t="n"/>
      <c r="S23" s="225" t="n"/>
      <c r="T23" s="225" t="n"/>
      <c r="U23" s="225" t="n"/>
      <c r="V23" s="225" t="n"/>
      <c r="W23" s="225" t="n"/>
      <c r="X23" s="225" t="n"/>
      <c r="Y23" s="225" t="n"/>
      <c r="Z23" s="225" t="n"/>
      <c r="AA23" s="225" t="n"/>
      <c r="AB23" s="225" t="n"/>
      <c r="AC23" s="225" t="n"/>
      <c r="AD23" s="225" t="n"/>
      <c r="AE23" s="225" t="n"/>
      <c r="AF23" s="225" t="n"/>
      <c r="AG23" s="225" t="n"/>
      <c r="AH23" s="226" t="n"/>
    </row>
    <row r="24" ht="12" customHeight="1">
      <c r="B24" s="89" t="inlineStr">
        <is>
          <t>エラー情報</t>
        </is>
      </c>
      <c r="C24" s="225" t="n"/>
      <c r="D24" s="225" t="n"/>
      <c r="E24" s="225" t="n"/>
      <c r="F24" s="225" t="n"/>
      <c r="G24" s="225" t="n"/>
      <c r="H24" s="225" t="n"/>
      <c r="I24" s="225" t="n"/>
      <c r="J24" s="225" t="n"/>
      <c r="K24" s="225" t="n"/>
      <c r="L24" s="225" t="n"/>
      <c r="M24" s="225" t="n"/>
      <c r="N24" s="225" t="n"/>
      <c r="O24" s="225" t="n"/>
      <c r="P24" s="225" t="n"/>
      <c r="Q24" s="225" t="n"/>
      <c r="R24" s="225" t="n"/>
      <c r="S24" s="225" t="n"/>
      <c r="T24" s="225" t="n"/>
      <c r="U24" s="225" t="n"/>
      <c r="V24" s="225" t="n"/>
      <c r="W24" s="225" t="n"/>
      <c r="X24" s="225" t="n"/>
      <c r="Y24" s="225" t="n"/>
      <c r="Z24" s="225" t="n"/>
      <c r="AA24" s="225" t="n"/>
      <c r="AB24" s="225" t="n"/>
      <c r="AC24" s="225" t="n"/>
      <c r="AD24" s="225" t="n"/>
      <c r="AE24" s="225" t="n"/>
      <c r="AF24" s="225" t="n"/>
      <c r="AG24" s="225" t="n"/>
      <c r="AH24" s="226" t="n"/>
    </row>
    <row r="25" ht="24" customHeight="1">
      <c r="B25" s="256" t="inlineStr">
        <is>
          <t>エラー
番号</t>
        </is>
      </c>
      <c r="C25" s="226" t="n"/>
      <c r="D25" s="89" t="inlineStr">
        <is>
          <t>エラー名</t>
        </is>
      </c>
      <c r="E25" s="225" t="n"/>
      <c r="F25" s="225" t="n"/>
      <c r="G25" s="225" t="n"/>
      <c r="H25" s="225" t="n"/>
      <c r="I25" s="225" t="n"/>
      <c r="J25" s="226" t="n"/>
      <c r="K25" s="89" t="inlineStr">
        <is>
          <t>エラー種別</t>
        </is>
      </c>
      <c r="L25" s="225" t="n"/>
      <c r="M25" s="225" t="n"/>
      <c r="N25" s="225" t="n"/>
      <c r="O25" s="226" t="n"/>
      <c r="P25" s="89" t="inlineStr">
        <is>
          <t>メッセージID</t>
        </is>
      </c>
      <c r="Q25" s="225" t="n"/>
      <c r="R25" s="226" t="n"/>
      <c r="S25" s="89" t="inlineStr">
        <is>
          <t>埋め込み文字列</t>
        </is>
      </c>
      <c r="T25" s="225" t="n"/>
      <c r="U25" s="225" t="n"/>
      <c r="V25" s="225" t="n"/>
      <c r="W25" s="226" t="n"/>
      <c r="X25" s="89" t="inlineStr">
        <is>
          <t>エラー概要</t>
        </is>
      </c>
      <c r="Y25" s="225" t="n"/>
      <c r="Z25" s="225" t="n"/>
      <c r="AA25" s="225" t="n"/>
      <c r="AB25" s="225" t="n"/>
      <c r="AC25" s="225" t="n"/>
      <c r="AD25" s="225" t="n"/>
      <c r="AE25" s="225" t="n"/>
      <c r="AF25" s="225" t="n"/>
      <c r="AG25" s="225" t="n"/>
      <c r="AH25" s="226" t="n"/>
      <c r="AI25" s="22" t="n"/>
    </row>
    <row r="26" ht="12" customHeight="1">
      <c r="B26" s="257" t="n">
        <v>1</v>
      </c>
      <c r="C26" s="226" t="n"/>
      <c r="D26" s="250" t="inlineStr">
        <is>
          <t>パラメータエラー</t>
        </is>
      </c>
      <c r="E26" s="225" t="n"/>
      <c r="F26" s="225" t="n"/>
      <c r="G26" s="225" t="n"/>
      <c r="H26" s="225" t="n"/>
      <c r="I26" s="225" t="n"/>
      <c r="J26" s="226" t="n"/>
      <c r="K26" s="250" t="inlineStr">
        <is>
          <t>IllegalArgumentException</t>
        </is>
      </c>
      <c r="L26" s="225" t="n"/>
      <c r="M26" s="225" t="n"/>
      <c r="N26" s="225" t="n"/>
      <c r="O26" s="226" t="n"/>
      <c r="P26" s="250" t="inlineStr">
        <is>
          <t>-</t>
        </is>
      </c>
      <c r="Q26" s="225" t="n"/>
      <c r="R26" s="226" t="n"/>
      <c r="S26" s="250" t="inlineStr">
        <is>
          <t>-</t>
        </is>
      </c>
      <c r="T26" s="225" t="n"/>
      <c r="U26" s="225" t="n"/>
      <c r="V26" s="225" t="n"/>
      <c r="W26" s="226" t="n"/>
      <c r="X26" s="250" t="inlineStr">
        <is>
          <t>予定費用合計・役職コード・費用負担区分のいずれかがnullの場合。</t>
        </is>
      </c>
      <c r="Y26" s="225" t="n"/>
      <c r="Z26" s="225" t="n"/>
      <c r="AA26" s="225" t="n"/>
      <c r="AB26" s="225" t="n"/>
      <c r="AC26" s="225" t="n"/>
      <c r="AD26" s="225" t="n"/>
      <c r="AE26" s="225" t="n"/>
      <c r="AF26" s="225" t="n"/>
      <c r="AG26" s="225" t="n"/>
      <c r="AH26" s="226" t="n"/>
      <c r="AI26" s="22" t="n"/>
      <c r="AJ26" s="54" t="n"/>
    </row>
    <row r="27" ht="12" customHeight="1"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54" t="n"/>
      <c r="AJ27" s="45" t="n"/>
      <c r="AK27" s="45" t="n"/>
    </row>
    <row r="28" ht="24" customHeight="1">
      <c r="B28" s="258" t="inlineStr">
        <is>
          <t>処理定義</t>
        </is>
      </c>
      <c r="C28" s="225" t="n"/>
      <c r="D28" s="225" t="n"/>
      <c r="E28" s="225" t="n"/>
      <c r="F28" s="225" t="n"/>
      <c r="G28" s="225" t="n"/>
      <c r="H28" s="225" t="n"/>
      <c r="I28" s="225" t="n"/>
      <c r="J28" s="225" t="n"/>
      <c r="K28" s="225" t="n"/>
      <c r="L28" s="225" t="n"/>
      <c r="M28" s="225" t="n"/>
      <c r="N28" s="225" t="n"/>
      <c r="O28" s="225" t="n"/>
      <c r="P28" s="225" t="n"/>
      <c r="Q28" s="225" t="n"/>
      <c r="R28" s="225" t="n"/>
      <c r="S28" s="225" t="n"/>
      <c r="T28" s="225" t="n"/>
      <c r="U28" s="225" t="n"/>
      <c r="V28" s="225" t="n"/>
      <c r="W28" s="225" t="n"/>
      <c r="X28" s="226" t="n"/>
      <c r="Y28" s="258" t="inlineStr">
        <is>
          <t>共通ｺﾝﾎﾟｰﾈﾝﾄID</t>
        </is>
      </c>
      <c r="Z28" s="225" t="n"/>
      <c r="AA28" s="226" t="n"/>
      <c r="AB28" s="258" t="inlineStr">
        <is>
          <t>共通ｺﾝﾎﾟｰﾈﾝﾄ処理名</t>
        </is>
      </c>
      <c r="AC28" s="225" t="n"/>
      <c r="AD28" s="225" t="n"/>
      <c r="AE28" s="225" t="n"/>
      <c r="AF28" s="226" t="n"/>
      <c r="AG28" s="256" t="inlineStr">
        <is>
          <t>エラー
番号</t>
        </is>
      </c>
      <c r="AH28" s="226" t="n"/>
      <c r="AI28" s="45" t="n"/>
    </row>
    <row r="29" ht="12" customHeight="1">
      <c r="B29" s="216" t="inlineStr">
        <is>
          <t>1. 判定処理</t>
        </is>
      </c>
      <c r="C29" s="198" t="n"/>
      <c r="D29" s="198" t="n"/>
      <c r="E29" s="198" t="n"/>
      <c r="F29" s="198" t="n"/>
      <c r="G29" s="198" t="n"/>
      <c r="H29" s="198" t="n"/>
      <c r="I29" s="198" t="n"/>
      <c r="J29" s="198" t="n"/>
      <c r="K29" s="198" t="n"/>
      <c r="L29" s="198" t="n"/>
      <c r="M29" s="198" t="n"/>
      <c r="N29" s="198" t="n"/>
      <c r="O29" s="198" t="n"/>
      <c r="P29" s="198" t="n"/>
      <c r="Q29" s="198" t="n"/>
      <c r="R29" s="198" t="n"/>
      <c r="S29" s="198" t="n"/>
      <c r="T29" s="198" t="n"/>
      <c r="U29" s="198" t="n"/>
      <c r="V29" s="198" t="n"/>
      <c r="W29" s="198" t="n"/>
      <c r="X29" s="199" t="n"/>
      <c r="Y29" s="259" t="n"/>
      <c r="Z29" s="229" t="n"/>
      <c r="AA29" s="230" t="n"/>
      <c r="AB29" s="259" t="n"/>
      <c r="AC29" s="229" t="n"/>
      <c r="AD29" s="229" t="n"/>
      <c r="AE29" s="229" t="n"/>
      <c r="AF29" s="230" t="n"/>
      <c r="AG29" s="260" t="n"/>
      <c r="AH29" s="230" t="n"/>
    </row>
    <row r="30" ht="12" customHeight="1">
      <c r="B30" s="200" t="n"/>
      <c r="C30" s="201" t="inlineStr">
        <is>
          <t xml:space="preserve">　（1） 予定費用合計が 100000 以上の場合、申請状態コードに '20' を設定する。</t>
        </is>
      </c>
      <c r="D30" s="201" t="n"/>
      <c r="E30" s="201" t="n"/>
      <c r="F30" s="201" t="n"/>
      <c r="G30" s="201" t="n"/>
      <c r="H30" s="201" t="n"/>
      <c r="I30" s="201" t="n"/>
      <c r="J30" s="201" t="n"/>
      <c r="K30" s="201" t="n"/>
      <c r="L30" s="201" t="n"/>
      <c r="M30" s="201" t="n"/>
      <c r="N30" s="201" t="n"/>
      <c r="O30" s="201" t="n"/>
      <c r="P30" s="201" t="n"/>
      <c r="Q30" s="201" t="n"/>
      <c r="R30" s="201" t="n"/>
      <c r="S30" s="201" t="n"/>
      <c r="T30" s="201" t="n"/>
      <c r="U30" s="201" t="n"/>
      <c r="V30" s="201" t="n"/>
      <c r="W30" s="201" t="n"/>
      <c r="X30" s="202" t="n"/>
      <c r="Y30" s="261" t="n"/>
      <c r="AA30" s="235" t="n"/>
      <c r="AB30" s="261" t="n"/>
      <c r="AF30" s="235" t="n"/>
      <c r="AG30" s="262" t="n"/>
      <c r="AH30" s="235" t="n"/>
    </row>
    <row r="31" ht="12" customHeight="1">
      <c r="B31" s="200" t="n"/>
      <c r="C31" s="201" t="inlineStr">
        <is>
          <t xml:space="preserve">　（2） 役職コードが '99' の場合、申請状態コードに '20' を設定する。</t>
        </is>
      </c>
      <c r="D31" s="201" t="n"/>
      <c r="E31" s="201" t="n"/>
      <c r="F31" s="201" t="n"/>
      <c r="G31" s="201" t="n"/>
      <c r="H31" s="201" t="n"/>
      <c r="I31" s="201" t="n"/>
      <c r="J31" s="201" t="n"/>
      <c r="K31" s="201" t="n"/>
      <c r="L31" s="201" t="n"/>
      <c r="M31" s="201" t="n"/>
      <c r="N31" s="201" t="n"/>
      <c r="O31" s="201" t="n"/>
      <c r="P31" s="201" t="n"/>
      <c r="Q31" s="201" t="n"/>
      <c r="R31" s="201" t="n"/>
      <c r="S31" s="201" t="n"/>
      <c r="T31" s="201" t="n"/>
      <c r="U31" s="201" t="n"/>
      <c r="V31" s="201" t="n"/>
      <c r="W31" s="201" t="n"/>
      <c r="X31" s="202" t="n"/>
      <c r="Y31" s="261" t="n"/>
      <c r="AA31" s="235" t="n"/>
      <c r="AB31" s="261" t="n"/>
      <c r="AF31" s="235" t="n"/>
      <c r="AG31" s="262" t="n"/>
      <c r="AH31" s="235" t="n"/>
    </row>
    <row r="32" ht="12" customHeight="1">
      <c r="B32" s="200" t="n"/>
      <c r="C32" s="201" t="inlineStr">
        <is>
          <t xml:space="preserve">　（3） 費用負担区分が '02' の場合、申請状態コードに '20' を設定する。</t>
        </is>
      </c>
      <c r="D32" s="201" t="n"/>
      <c r="E32" s="201" t="n"/>
      <c r="F32" s="201" t="n"/>
      <c r="G32" s="201" t="n"/>
      <c r="H32" s="201" t="n"/>
      <c r="I32" s="201" t="n"/>
      <c r="J32" s="201" t="n"/>
      <c r="K32" s="201" t="n"/>
      <c r="L32" s="201" t="n"/>
      <c r="M32" s="201" t="n"/>
      <c r="N32" s="201" t="n"/>
      <c r="O32" s="201" t="n"/>
      <c r="P32" s="201" t="n"/>
      <c r="Q32" s="201" t="n"/>
      <c r="R32" s="201" t="n"/>
      <c r="S32" s="201" t="n"/>
      <c r="T32" s="201" t="n"/>
      <c r="U32" s="201" t="n"/>
      <c r="V32" s="201" t="n"/>
      <c r="W32" s="201" t="n"/>
      <c r="X32" s="202" t="n"/>
      <c r="Y32" s="261" t="n"/>
      <c r="AA32" s="235" t="n"/>
      <c r="AB32" s="261" t="n"/>
      <c r="AF32" s="235" t="n"/>
      <c r="AG32" s="262" t="n"/>
      <c r="AH32" s="235" t="n"/>
    </row>
    <row r="33" ht="12" customHeight="1">
      <c r="B33" s="200" t="n"/>
      <c r="C33" s="201" t="inlineStr">
        <is>
          <t xml:space="preserve">　（4） 上記（1）〜（3）のいずれにも該当しない場合、申請状態コードに '21' を設定する。</t>
        </is>
      </c>
      <c r="D33" s="201" t="n"/>
      <c r="E33" s="201" t="n"/>
      <c r="F33" s="201" t="n"/>
      <c r="G33" s="201" t="n"/>
      <c r="H33" s="201" t="n"/>
      <c r="I33" s="201" t="n"/>
      <c r="J33" s="201" t="n"/>
      <c r="K33" s="201" t="n"/>
      <c r="L33" s="201" t="n"/>
      <c r="M33" s="201" t="n"/>
      <c r="N33" s="201" t="n"/>
      <c r="O33" s="201" t="n"/>
      <c r="P33" s="201" t="n"/>
      <c r="Q33" s="201" t="n"/>
      <c r="R33" s="201" t="n"/>
      <c r="S33" s="201" t="n"/>
      <c r="T33" s="201" t="n"/>
      <c r="U33" s="201" t="n"/>
      <c r="V33" s="201" t="n"/>
      <c r="W33" s="201" t="n"/>
      <c r="X33" s="202" t="n"/>
      <c r="Y33" s="261" t="n"/>
      <c r="AA33" s="235" t="n"/>
      <c r="AB33" s="261" t="n"/>
      <c r="AF33" s="235" t="n"/>
      <c r="AG33" s="262" t="n"/>
      <c r="AH33" s="235" t="n"/>
    </row>
    <row r="34" ht="12" customHeight="1">
      <c r="B34" s="200" t="inlineStr">
        <is>
          <t>2. 戻り値返却</t>
        </is>
      </c>
      <c r="C34" s="201" t="n"/>
      <c r="D34" s="201" t="n"/>
      <c r="E34" s="201" t="n"/>
      <c r="F34" s="201" t="n"/>
      <c r="G34" s="201" t="n"/>
      <c r="H34" s="201" t="n"/>
      <c r="I34" s="201" t="n"/>
      <c r="J34" s="201" t="n"/>
      <c r="K34" s="201" t="n"/>
      <c r="L34" s="201" t="n"/>
      <c r="M34" s="201" t="n"/>
      <c r="N34" s="201" t="n"/>
      <c r="O34" s="201" t="n"/>
      <c r="P34" s="201" t="n"/>
      <c r="Q34" s="201" t="n"/>
      <c r="R34" s="201" t="n"/>
      <c r="S34" s="201" t="n"/>
      <c r="T34" s="201" t="n"/>
      <c r="U34" s="201" t="n"/>
      <c r="V34" s="201" t="n"/>
      <c r="W34" s="201" t="n"/>
      <c r="X34" s="202" t="n"/>
      <c r="Y34" s="261" t="n"/>
      <c r="AA34" s="235" t="n"/>
      <c r="AB34" s="261" t="n"/>
      <c r="AF34" s="235" t="n"/>
      <c r="AG34" s="262" t="n"/>
      <c r="AH34" s="235" t="n"/>
    </row>
    <row r="35" ht="12" customHeight="1">
      <c r="B35" s="200" t="n"/>
      <c r="C35" s="201" t="inlineStr">
        <is>
          <t xml:space="preserve">　設定した申請状態コードを呼び元へ返却する。</t>
        </is>
      </c>
      <c r="D35" s="201" t="n"/>
      <c r="E35" s="201" t="n"/>
      <c r="F35" s="201" t="n"/>
      <c r="G35" s="201" t="n"/>
      <c r="H35" s="201" t="n"/>
      <c r="I35" s="201" t="n"/>
      <c r="J35" s="201" t="n"/>
      <c r="K35" s="201" t="n"/>
      <c r="L35" s="201" t="n"/>
      <c r="M35" s="201" t="n"/>
      <c r="N35" s="201" t="n"/>
      <c r="O35" s="201" t="n"/>
      <c r="P35" s="201" t="n"/>
      <c r="Q35" s="201" t="n"/>
      <c r="R35" s="201" t="n"/>
      <c r="S35" s="201" t="n"/>
      <c r="T35" s="201" t="n"/>
      <c r="U35" s="201" t="n"/>
      <c r="V35" s="201" t="n"/>
      <c r="W35" s="201" t="n"/>
      <c r="X35" s="202" t="n"/>
      <c r="Y35" s="261" t="n"/>
      <c r="AA35" s="235" t="n"/>
      <c r="AB35" s="261" t="n"/>
      <c r="AF35" s="235" t="n"/>
      <c r="AG35" s="262" t="n"/>
      <c r="AH35" s="235" t="n"/>
    </row>
    <row r="36" ht="12" customHeight="1">
      <c r="B36" s="200" t="n"/>
      <c r="C36" s="201" t="n"/>
      <c r="D36" s="201" t="n"/>
      <c r="E36" s="201" t="n"/>
      <c r="F36" s="201" t="n"/>
      <c r="G36" s="201" t="n"/>
      <c r="H36" s="201" t="n"/>
      <c r="I36" s="201" t="n"/>
      <c r="J36" s="201" t="n"/>
      <c r="K36" s="201" t="n"/>
      <c r="L36" s="201" t="n"/>
      <c r="M36" s="201" t="n"/>
      <c r="N36" s="201" t="n"/>
      <c r="O36" s="201" t="n"/>
      <c r="P36" s="201" t="n"/>
      <c r="Q36" s="201" t="n"/>
      <c r="R36" s="201" t="n"/>
      <c r="S36" s="201" t="n"/>
      <c r="T36" s="201" t="n"/>
      <c r="U36" s="201" t="n"/>
      <c r="V36" s="201" t="n"/>
      <c r="W36" s="201" t="n"/>
      <c r="X36" s="202" t="n"/>
      <c r="Y36" s="261" t="n"/>
      <c r="AA36" s="235" t="n"/>
      <c r="AB36" s="261" t="n"/>
      <c r="AF36" s="235" t="n"/>
      <c r="AG36" s="262" t="n"/>
      <c r="AH36" s="235" t="n"/>
    </row>
    <row r="37" ht="12" customHeight="1">
      <c r="B37" s="200" t="n"/>
      <c r="C37" s="201" t="n"/>
      <c r="D37" s="201" t="n"/>
      <c r="E37" s="201" t="n"/>
      <c r="F37" s="201" t="n"/>
      <c r="G37" s="201" t="n"/>
      <c r="H37" s="201" t="n"/>
      <c r="I37" s="201" t="n"/>
      <c r="J37" s="201" t="n"/>
      <c r="K37" s="201" t="n"/>
      <c r="L37" s="201" t="n"/>
      <c r="M37" s="201" t="n"/>
      <c r="N37" s="201" t="n"/>
      <c r="O37" s="201" t="n"/>
      <c r="P37" s="201" t="n"/>
      <c r="Q37" s="201" t="n"/>
      <c r="R37" s="201" t="n"/>
      <c r="S37" s="201" t="n"/>
      <c r="T37" s="201" t="n"/>
      <c r="U37" s="201" t="n"/>
      <c r="V37" s="201" t="n"/>
      <c r="W37" s="201" t="n"/>
      <c r="X37" s="202" t="n"/>
      <c r="Y37" s="261" t="n"/>
      <c r="AA37" s="235" t="n"/>
      <c r="AB37" s="261" t="n"/>
      <c r="AF37" s="235" t="n"/>
      <c r="AG37" s="262" t="n"/>
      <c r="AH37" s="235" t="n"/>
    </row>
    <row r="38" ht="12" customHeight="1">
      <c r="B38" s="200" t="n"/>
      <c r="C38" s="201" t="n"/>
      <c r="D38" s="201" t="n"/>
      <c r="E38" s="201" t="n"/>
      <c r="F38" s="201" t="n"/>
      <c r="G38" s="201" t="n"/>
      <c r="H38" s="201" t="n"/>
      <c r="I38" s="201" t="n"/>
      <c r="J38" s="201" t="n"/>
      <c r="K38" s="201" t="n"/>
      <c r="L38" s="201" t="n"/>
      <c r="M38" s="201" t="n"/>
      <c r="N38" s="201" t="n"/>
      <c r="O38" s="201" t="n"/>
      <c r="P38" s="201" t="n"/>
      <c r="Q38" s="201" t="n"/>
      <c r="R38" s="201" t="n"/>
      <c r="S38" s="201" t="n"/>
      <c r="T38" s="201" t="n"/>
      <c r="U38" s="201" t="n"/>
      <c r="V38" s="201" t="n"/>
      <c r="W38" s="201" t="n"/>
      <c r="X38" s="202" t="n"/>
      <c r="Y38" s="261" t="n"/>
      <c r="AA38" s="235" t="n"/>
      <c r="AB38" s="261" t="n"/>
      <c r="AF38" s="235" t="n"/>
      <c r="AG38" s="262" t="n"/>
      <c r="AH38" s="235" t="n"/>
    </row>
    <row r="39" ht="12" customHeight="1">
      <c r="B39" s="200" t="n"/>
      <c r="C39" s="201" t="n"/>
      <c r="D39" s="201" t="n"/>
      <c r="E39" s="201" t="n"/>
      <c r="F39" s="201" t="n"/>
      <c r="G39" s="201" t="n"/>
      <c r="H39" s="201" t="n"/>
      <c r="I39" s="201" t="n"/>
      <c r="J39" s="201" t="n"/>
      <c r="K39" s="201" t="n"/>
      <c r="L39" s="201" t="n"/>
      <c r="M39" s="201" t="n"/>
      <c r="N39" s="201" t="n"/>
      <c r="O39" s="201" t="n"/>
      <c r="P39" s="201" t="n"/>
      <c r="Q39" s="201" t="n"/>
      <c r="R39" s="201" t="n"/>
      <c r="S39" s="201" t="n"/>
      <c r="T39" s="201" t="n"/>
      <c r="U39" s="201" t="n"/>
      <c r="V39" s="201" t="n"/>
      <c r="W39" s="201" t="n"/>
      <c r="X39" s="202" t="n"/>
      <c r="Y39" s="261" t="n"/>
      <c r="AA39" s="235" t="n"/>
      <c r="AB39" s="261" t="n"/>
      <c r="AF39" s="235" t="n"/>
      <c r="AG39" s="262" t="n"/>
      <c r="AH39" s="235" t="n"/>
    </row>
    <row r="40" ht="12" customHeight="1">
      <c r="B40" s="200" t="n"/>
      <c r="C40" s="201" t="n"/>
      <c r="D40" s="201" t="n"/>
      <c r="E40" s="201" t="n"/>
      <c r="F40" s="201" t="n"/>
      <c r="G40" s="201" t="n"/>
      <c r="H40" s="201" t="n"/>
      <c r="I40" s="201" t="n"/>
      <c r="J40" s="201" t="n"/>
      <c r="K40" s="201" t="n"/>
      <c r="L40" s="201" t="n"/>
      <c r="M40" s="201" t="n"/>
      <c r="N40" s="201" t="n"/>
      <c r="O40" s="201" t="n"/>
      <c r="P40" s="201" t="n"/>
      <c r="Q40" s="201" t="n"/>
      <c r="R40" s="201" t="n"/>
      <c r="S40" s="201" t="n"/>
      <c r="T40" s="201" t="n"/>
      <c r="U40" s="201" t="n"/>
      <c r="V40" s="201" t="n"/>
      <c r="W40" s="201" t="n"/>
      <c r="X40" s="202" t="n"/>
      <c r="Y40" s="261" t="n"/>
      <c r="AA40" s="235" t="n"/>
      <c r="AB40" s="261" t="n"/>
      <c r="AF40" s="235" t="n"/>
      <c r="AG40" s="262" t="n"/>
      <c r="AH40" s="235" t="n"/>
    </row>
    <row r="41" ht="12" customHeight="1">
      <c r="B41" s="200" t="n"/>
      <c r="C41" s="201" t="n"/>
      <c r="D41" s="201" t="n"/>
      <c r="E41" s="201" t="n"/>
      <c r="F41" s="201" t="n"/>
      <c r="G41" s="201" t="n"/>
      <c r="H41" s="201" t="n"/>
      <c r="I41" s="201" t="n"/>
      <c r="J41" s="201" t="n"/>
      <c r="K41" s="201" t="n"/>
      <c r="L41" s="201" t="n"/>
      <c r="M41" s="201" t="n"/>
      <c r="N41" s="201" t="n"/>
      <c r="O41" s="201" t="n"/>
      <c r="P41" s="201" t="n"/>
      <c r="Q41" s="201" t="n"/>
      <c r="R41" s="201" t="n"/>
      <c r="S41" s="201" t="n"/>
      <c r="T41" s="201" t="n"/>
      <c r="U41" s="201" t="n"/>
      <c r="V41" s="201" t="n"/>
      <c r="W41" s="201" t="n"/>
      <c r="X41" s="202" t="n"/>
      <c r="Y41" s="261" t="n"/>
      <c r="AA41" s="235" t="n"/>
      <c r="AB41" s="261" t="n"/>
      <c r="AF41" s="235" t="n"/>
      <c r="AG41" s="262" t="n"/>
      <c r="AH41" s="235" t="n"/>
    </row>
    <row r="42" ht="12" customHeight="1">
      <c r="B42" s="203" t="n"/>
      <c r="C42" s="204" t="n"/>
      <c r="D42" s="204" t="n"/>
      <c r="E42" s="204" t="n"/>
      <c r="F42" s="204" t="n"/>
      <c r="G42" s="204" t="n"/>
      <c r="H42" s="204" t="n"/>
      <c r="I42" s="204" t="n"/>
      <c r="J42" s="204" t="n"/>
      <c r="K42" s="204" t="n"/>
      <c r="L42" s="204" t="n"/>
      <c r="M42" s="204" t="n"/>
      <c r="N42" s="204" t="n"/>
      <c r="O42" s="204" t="n"/>
      <c r="P42" s="204" t="n"/>
      <c r="Q42" s="204" t="n"/>
      <c r="R42" s="204" t="n"/>
      <c r="S42" s="204" t="n"/>
      <c r="T42" s="204" t="n"/>
      <c r="U42" s="204" t="n"/>
      <c r="V42" s="204" t="n"/>
      <c r="W42" s="204" t="n"/>
      <c r="X42" s="205" t="n"/>
      <c r="Y42" s="263" t="n"/>
      <c r="Z42" s="237" t="n"/>
      <c r="AA42" s="238" t="n"/>
      <c r="AB42" s="263" t="n"/>
      <c r="AC42" s="237" t="n"/>
      <c r="AD42" s="237" t="n"/>
      <c r="AE42" s="237" t="n"/>
      <c r="AF42" s="238" t="n"/>
      <c r="AG42" s="86" t="n"/>
      <c r="AH42" s="238" t="n"/>
    </row>
    <row r="43" ht="12" customHeight="1"/>
    <row r="44" ht="12" customHeight="1"/>
  </sheetData>
  <mergeCells count="121">
    <mergeCell ref="F5:H5"/>
    <mergeCell ref="S1:Z3"/>
    <mergeCell ref="O15:P15"/>
    <mergeCell ref="J19:K19"/>
    <mergeCell ref="AG41:AH41"/>
    <mergeCell ref="Y40:AA40"/>
    <mergeCell ref="AB41:AF41"/>
    <mergeCell ref="AB35:AF35"/>
    <mergeCell ref="D26:J26"/>
    <mergeCell ref="Q13:T13"/>
    <mergeCell ref="B17:I17"/>
    <mergeCell ref="AB36:AF36"/>
    <mergeCell ref="O16:P16"/>
    <mergeCell ref="Q17:AH17"/>
    <mergeCell ref="U13:AH13"/>
    <mergeCell ref="B19:I19"/>
    <mergeCell ref="B20:AH20"/>
    <mergeCell ref="F13:P13"/>
    <mergeCell ref="O17:P17"/>
    <mergeCell ref="B13:E13"/>
    <mergeCell ref="AA2:AB2"/>
    <mergeCell ref="O1:R3"/>
    <mergeCell ref="A2:D2"/>
    <mergeCell ref="B26:C26"/>
    <mergeCell ref="Y39:AA39"/>
    <mergeCell ref="Y30:AA30"/>
    <mergeCell ref="L15:N15"/>
    <mergeCell ref="AG2:AI2"/>
    <mergeCell ref="S25:W25"/>
    <mergeCell ref="AG29:AH29"/>
    <mergeCell ref="K25:O25"/>
    <mergeCell ref="Y29:AA29"/>
    <mergeCell ref="B25:C25"/>
    <mergeCell ref="L18:N18"/>
    <mergeCell ref="AG38:AH38"/>
    <mergeCell ref="B22:I22"/>
    <mergeCell ref="AC2:AF2"/>
    <mergeCell ref="AG31:AH31"/>
    <mergeCell ref="Y31:AA31"/>
    <mergeCell ref="AG40:AH40"/>
    <mergeCell ref="AB32:AF32"/>
    <mergeCell ref="B21:I21"/>
    <mergeCell ref="AB40:AF40"/>
    <mergeCell ref="J17:K17"/>
    <mergeCell ref="Y28:AA28"/>
    <mergeCell ref="Y37:AA37"/>
    <mergeCell ref="Z5:AH5"/>
    <mergeCell ref="B23:I23"/>
    <mergeCell ref="AG32:AH32"/>
    <mergeCell ref="Y32:AA32"/>
    <mergeCell ref="Y41:AA41"/>
    <mergeCell ref="B7:AH12"/>
    <mergeCell ref="B28:X28"/>
    <mergeCell ref="AG1:AI1"/>
    <mergeCell ref="AG33:AH33"/>
    <mergeCell ref="M5:U5"/>
    <mergeCell ref="AG42:AH42"/>
    <mergeCell ref="AB34:AF34"/>
    <mergeCell ref="AB28:AF28"/>
    <mergeCell ref="AB37:AF37"/>
    <mergeCell ref="AC1:AF1"/>
    <mergeCell ref="S26:W26"/>
    <mergeCell ref="E2:N2"/>
    <mergeCell ref="Y35:AA35"/>
    <mergeCell ref="AG35:AH35"/>
    <mergeCell ref="AB30:AF30"/>
    <mergeCell ref="N21:AH21"/>
    <mergeCell ref="O19:P19"/>
    <mergeCell ref="AG34:AH34"/>
    <mergeCell ref="D25:J25"/>
    <mergeCell ref="AB29:AF29"/>
    <mergeCell ref="N23:AH23"/>
    <mergeCell ref="B14:AH14"/>
    <mergeCell ref="Q15:AH15"/>
    <mergeCell ref="AG3:AI3"/>
    <mergeCell ref="A1:D1"/>
    <mergeCell ref="J16:K16"/>
    <mergeCell ref="AC3:AF3"/>
    <mergeCell ref="B24:AH24"/>
    <mergeCell ref="AB38:AF38"/>
    <mergeCell ref="Y42:AA42"/>
    <mergeCell ref="L17:N17"/>
    <mergeCell ref="E1:N1"/>
    <mergeCell ref="Y38:AA38"/>
    <mergeCell ref="Q16:AH16"/>
    <mergeCell ref="P25:R25"/>
    <mergeCell ref="B15:I15"/>
    <mergeCell ref="L19:N19"/>
    <mergeCell ref="Q18:AH18"/>
    <mergeCell ref="AB33:AF33"/>
    <mergeCell ref="AB42:AF42"/>
    <mergeCell ref="N22:AH22"/>
    <mergeCell ref="B16:I16"/>
    <mergeCell ref="AA1:AB1"/>
    <mergeCell ref="O18:P18"/>
    <mergeCell ref="Q19:AH19"/>
    <mergeCell ref="B5:E5"/>
    <mergeCell ref="Y34:AA34"/>
    <mergeCell ref="B18:I18"/>
    <mergeCell ref="K26:O26"/>
    <mergeCell ref="J15:K15"/>
    <mergeCell ref="E3:N3"/>
    <mergeCell ref="Y36:AA36"/>
    <mergeCell ref="AG36:AH36"/>
    <mergeCell ref="AB31:AF31"/>
    <mergeCell ref="V5:Y5"/>
    <mergeCell ref="Y33:AA33"/>
    <mergeCell ref="AB39:AF39"/>
    <mergeCell ref="B6:AH6"/>
    <mergeCell ref="AG28:AH28"/>
    <mergeCell ref="AG37:AH37"/>
    <mergeCell ref="P26:R26"/>
    <mergeCell ref="X26:AH26"/>
    <mergeCell ref="AA3:AB3"/>
    <mergeCell ref="L16:N16"/>
    <mergeCell ref="AG39:AH39"/>
    <mergeCell ref="AG30:AH30"/>
    <mergeCell ref="A3:D3"/>
    <mergeCell ref="J18:K18"/>
    <mergeCell ref="X25:AH25"/>
    <mergeCell ref="I5:L5"/>
  </mergeCells>
  <dataValidations count="3">
    <dataValidation sqref="J16:J18" showDropDown="0" showInputMessage="1" showErrorMessage="1" allowBlank="1" type="list">
      <formula1>"I,O"</formula1>
    </dataValidation>
    <dataValidation sqref="O16:P18" showDropDown="0" showInputMessage="1" showErrorMessage="1" allowBlank="1" type="list">
      <formula1>"○,-"</formula1>
    </dataValidation>
    <dataValidation sqref="J21:M22" showDropDown="0" showInputMessage="1" showErrorMessage="1" allowBlank="1" type="list">
      <formula1>"○,-"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Sheet4">
    <outlinePr summaryBelow="1" summaryRight="1"/>
    <pageSetUpPr fitToPage="1"/>
  </sheetPr>
  <dimension ref="A1:AL41"/>
  <sheetViews>
    <sheetView workbookViewId="0">
      <selection activeCell="A1" sqref="A1"/>
    </sheetView>
  </sheetViews>
  <sheetFormatPr baseColWidth="8" defaultColWidth="4.83203125" defaultRowHeight="11.25"/>
  <cols>
    <col width="4.83203125" customWidth="1" style="45" min="1" max="16384"/>
  </cols>
  <sheetData>
    <row r="1" ht="12" customFormat="1" customHeight="1" s="13">
      <c r="A1" s="251" t="inlineStr">
        <is>
          <t>PJ名</t>
        </is>
      </c>
      <c r="B1" s="225" t="n"/>
      <c r="C1" s="225" t="n"/>
      <c r="D1" s="226" t="n"/>
      <c r="E1" s="227">
        <f>IF(INDIRECT("変更履歴!E1")&lt;&gt;"",INDIRECT("変更履歴!E1"),"")</f>
        <v/>
      </c>
      <c r="F1" s="225" t="n"/>
      <c r="G1" s="225" t="n"/>
      <c r="H1" s="225" t="n"/>
      <c r="I1" s="225" t="n"/>
      <c r="J1" s="225" t="n"/>
      <c r="K1" s="225" t="n"/>
      <c r="L1" s="225" t="n"/>
      <c r="M1" s="225" t="n"/>
      <c r="N1" s="226" t="n"/>
      <c r="O1" s="253" t="inlineStr">
        <is>
          <t>成果物名</t>
        </is>
      </c>
      <c r="P1" s="229" t="n"/>
      <c r="Q1" s="229" t="n"/>
      <c r="R1" s="230" t="n"/>
      <c r="S1" s="254">
        <f>IF(INDIRECT("変更履歴!S1")&lt;&gt;"",INDIRECT("変更履歴!S1"),"")</f>
        <v/>
      </c>
      <c r="T1" s="229" t="n"/>
      <c r="U1" s="229" t="n"/>
      <c r="V1" s="229" t="n"/>
      <c r="W1" s="229" t="n"/>
      <c r="X1" s="229" t="n"/>
      <c r="Y1" s="229" t="n"/>
      <c r="Z1" s="230" t="n"/>
      <c r="AA1" s="251" t="inlineStr">
        <is>
          <t>作成</t>
        </is>
      </c>
      <c r="AB1" s="226" t="n"/>
      <c r="AC1" s="232">
        <f>IF(INDIRECT("変更履歴!AC1")&lt;&gt;"",INDIRECT("変更履歴!AC1"),"")</f>
        <v/>
      </c>
      <c r="AD1" s="225" t="n"/>
      <c r="AE1" s="225" t="n"/>
      <c r="AF1" s="226" t="n"/>
      <c r="AG1" s="252">
        <f>IF(INDIRECT("変更履歴!AG1")&lt;&gt;"",INDIRECT("変更履歴!AG1"),"")</f>
        <v/>
      </c>
      <c r="AH1" s="225" t="n"/>
      <c r="AI1" s="226" t="n"/>
      <c r="AJ1" s="9" t="n"/>
      <c r="AK1" s="10" t="n"/>
    </row>
    <row r="2" ht="12" customFormat="1" customHeight="1" s="13">
      <c r="A2" s="251" t="inlineStr">
        <is>
          <t>システム名</t>
        </is>
      </c>
      <c r="B2" s="225" t="n"/>
      <c r="C2" s="225" t="n"/>
      <c r="D2" s="226" t="n"/>
      <c r="E2" s="227">
        <f>IF(INDIRECT("変更履歴!E2")&lt;&gt;"",INDIRECT("変更履歴!E2"),"")</f>
        <v/>
      </c>
      <c r="F2" s="225" t="n"/>
      <c r="G2" s="225" t="n"/>
      <c r="H2" s="225" t="n"/>
      <c r="I2" s="225" t="n"/>
      <c r="J2" s="225" t="n"/>
      <c r="K2" s="225" t="n"/>
      <c r="L2" s="225" t="n"/>
      <c r="M2" s="225" t="n"/>
      <c r="N2" s="226" t="n"/>
      <c r="O2" s="234" t="n"/>
      <c r="R2" s="235" t="n"/>
      <c r="S2" s="234" t="n"/>
      <c r="Z2" s="235" t="n"/>
      <c r="AA2" s="251" t="inlineStr">
        <is>
          <t>変更</t>
        </is>
      </c>
      <c r="AB2" s="226" t="n"/>
      <c r="AC2" s="232">
        <f>IF(INDIRECT("変更履歴!AC2")&lt;&gt;"",INDIRECT("変更履歴!AC2"),"")</f>
        <v/>
      </c>
      <c r="AD2" s="225" t="n"/>
      <c r="AE2" s="225" t="n"/>
      <c r="AF2" s="226" t="n"/>
      <c r="AG2" s="252">
        <f>IF(INDIRECT("変更履歴!AG2")&lt;&gt;"",INDIRECT("変更履歴!AG2"),"")</f>
        <v/>
      </c>
      <c r="AH2" s="225" t="n"/>
      <c r="AI2" s="226" t="n"/>
      <c r="AJ2" s="9" t="n"/>
      <c r="AK2" s="9" t="n"/>
    </row>
    <row r="3" ht="12" customFormat="1" customHeight="1" s="13">
      <c r="A3" s="251" t="inlineStr">
        <is>
          <t>サブシステム名</t>
        </is>
      </c>
      <c r="B3" s="225" t="n"/>
      <c r="C3" s="225" t="n"/>
      <c r="D3" s="226" t="n"/>
      <c r="E3" s="227">
        <f>IF(INDIRECT("変更履歴!E3")&lt;&gt;"",INDIRECT("変更履歴!E3"),"")</f>
        <v/>
      </c>
      <c r="F3" s="225" t="n"/>
      <c r="G3" s="225" t="n"/>
      <c r="H3" s="225" t="n"/>
      <c r="I3" s="225" t="n"/>
      <c r="J3" s="225" t="n"/>
      <c r="K3" s="225" t="n"/>
      <c r="L3" s="225" t="n"/>
      <c r="M3" s="225" t="n"/>
      <c r="N3" s="226" t="n"/>
      <c r="O3" s="236" t="n"/>
      <c r="P3" s="237" t="n"/>
      <c r="Q3" s="237" t="n"/>
      <c r="R3" s="238" t="n"/>
      <c r="S3" s="236" t="n"/>
      <c r="T3" s="237" t="n"/>
      <c r="U3" s="237" t="n"/>
      <c r="V3" s="237" t="n"/>
      <c r="W3" s="237" t="n"/>
      <c r="X3" s="237" t="n"/>
      <c r="Y3" s="237" t="n"/>
      <c r="Z3" s="238" t="n"/>
      <c r="AA3" s="251" t="n"/>
      <c r="AB3" s="226" t="n"/>
      <c r="AC3" s="232">
        <f>IF(INDIRECT("変更履歴!AC3")&lt;&gt;"",INDIRECT("変更履歴!AC3"),"")</f>
        <v/>
      </c>
      <c r="AD3" s="225" t="n"/>
      <c r="AE3" s="225" t="n"/>
      <c r="AF3" s="226" t="n"/>
      <c r="AG3" s="252">
        <f>IF(INDIRECT("変更履歴!AG3")&lt;&gt;"",INDIRECT("変更履歴!AG3"),"")</f>
        <v/>
      </c>
      <c r="AH3" s="225" t="n"/>
      <c r="AI3" s="226" t="n"/>
      <c r="AJ3" s="9" t="n"/>
      <c r="AK3" s="9" t="n"/>
    </row>
    <row r="4" ht="12" customHeight="1"/>
    <row r="5" ht="12" customFormat="1" customHeight="1" s="54">
      <c r="B5" s="89" t="inlineStr">
        <is>
          <t>コンポーネントID</t>
        </is>
      </c>
      <c r="C5" s="225" t="n"/>
      <c r="D5" s="225" t="n"/>
      <c r="E5" s="226" t="n"/>
      <c r="F5" s="206" t="inlineStr">
        <is>
          <t>CC0002</t>
        </is>
      </c>
      <c r="G5" s="225" t="n"/>
      <c r="H5" s="226" t="n"/>
      <c r="I5" s="89" t="inlineStr">
        <is>
          <t>コンポーネント名</t>
        </is>
      </c>
      <c r="J5" s="225" t="n"/>
      <c r="K5" s="225" t="n"/>
      <c r="L5" s="226" t="n"/>
      <c r="M5" s="206" t="inlineStr">
        <is>
          <t>精算額計算</t>
        </is>
      </c>
      <c r="N5" s="225" t="n"/>
      <c r="O5" s="225" t="n"/>
      <c r="P5" s="225" t="n"/>
      <c r="Q5" s="225" t="n"/>
      <c r="R5" s="225" t="n"/>
      <c r="S5" s="225" t="n"/>
      <c r="T5" s="225" t="n"/>
      <c r="U5" s="226" t="n"/>
      <c r="V5" s="89" t="inlineStr">
        <is>
          <t>処理名</t>
        </is>
      </c>
      <c r="W5" s="225" t="n"/>
      <c r="X5" s="225" t="n"/>
      <c r="Y5" s="226" t="n"/>
      <c r="Z5" s="206" t="inlineStr">
        <is>
          <t>精算額計算</t>
        </is>
      </c>
      <c r="AA5" s="225" t="n"/>
      <c r="AB5" s="225" t="n"/>
      <c r="AC5" s="225" t="n"/>
      <c r="AD5" s="225" t="n"/>
      <c r="AE5" s="225" t="n"/>
      <c r="AF5" s="225" t="n"/>
      <c r="AG5" s="225" t="n"/>
      <c r="AH5" s="226" t="n"/>
      <c r="AI5" s="45" t="n"/>
      <c r="AJ5" s="45" t="n"/>
      <c r="AK5" s="45" t="n"/>
      <c r="AL5" s="45" t="n"/>
    </row>
    <row r="6" ht="12" customFormat="1" customHeight="1" s="54">
      <c r="B6" s="89" t="inlineStr">
        <is>
          <t>処理説明</t>
        </is>
      </c>
      <c r="C6" s="225" t="n"/>
      <c r="D6" s="225" t="n"/>
      <c r="E6" s="225" t="n"/>
      <c r="F6" s="225" t="n"/>
      <c r="G6" s="225" t="n"/>
      <c r="H6" s="225" t="n"/>
      <c r="I6" s="225" t="n"/>
      <c r="J6" s="225" t="n"/>
      <c r="K6" s="225" t="n"/>
      <c r="L6" s="225" t="n"/>
      <c r="M6" s="225" t="n"/>
      <c r="N6" s="225" t="n"/>
      <c r="O6" s="225" t="n"/>
      <c r="P6" s="225" t="n"/>
      <c r="Q6" s="225" t="n"/>
      <c r="R6" s="225" t="n"/>
      <c r="S6" s="225" t="n"/>
      <c r="T6" s="225" t="n"/>
      <c r="U6" s="225" t="n"/>
      <c r="V6" s="225" t="n"/>
      <c r="W6" s="225" t="n"/>
      <c r="X6" s="225" t="n"/>
      <c r="Y6" s="225" t="n"/>
      <c r="Z6" s="225" t="n"/>
      <c r="AA6" s="225" t="n"/>
      <c r="AB6" s="225" t="n"/>
      <c r="AC6" s="225" t="n"/>
      <c r="AD6" s="225" t="n"/>
      <c r="AE6" s="225" t="n"/>
      <c r="AF6" s="225" t="n"/>
      <c r="AG6" s="225" t="n"/>
      <c r="AH6" s="226" t="n"/>
      <c r="AI6" s="45" t="n"/>
      <c r="AJ6" s="45" t="n"/>
      <c r="AK6" s="45" t="n"/>
    </row>
    <row r="7" ht="12" customFormat="1" customHeight="1" s="54">
      <c r="B7" s="250" t="inlineStr">
        <is>
          <t>1.処理概要
　費用負担区分と実績費用合計を入力として、会社が立て替える精算額を計算して返却する。
2.注意事項
　本コンポーネントは出張申請最終承認（BTS04）および経理連携ファイル作成（BTB01）から呼び出す。実績費用合計は呼び元で実績費用明細（BT_ACTUAL_COST.actual_amount）を集計した値を渡すこと。</t>
        </is>
      </c>
      <c r="C7" s="229" t="n"/>
      <c r="D7" s="229" t="n"/>
      <c r="E7" s="229" t="n"/>
      <c r="F7" s="229" t="n"/>
      <c r="G7" s="229" t="n"/>
      <c r="H7" s="229" t="n"/>
      <c r="I7" s="229" t="n"/>
      <c r="J7" s="229" t="n"/>
      <c r="K7" s="229" t="n"/>
      <c r="L7" s="229" t="n"/>
      <c r="M7" s="229" t="n"/>
      <c r="N7" s="229" t="n"/>
      <c r="O7" s="229" t="n"/>
      <c r="P7" s="229" t="n"/>
      <c r="Q7" s="229" t="n"/>
      <c r="R7" s="229" t="n"/>
      <c r="S7" s="229" t="n"/>
      <c r="T7" s="229" t="n"/>
      <c r="U7" s="229" t="n"/>
      <c r="V7" s="229" t="n"/>
      <c r="W7" s="229" t="n"/>
      <c r="X7" s="229" t="n"/>
      <c r="Y7" s="229" t="n"/>
      <c r="Z7" s="229" t="n"/>
      <c r="AA7" s="229" t="n"/>
      <c r="AB7" s="229" t="n"/>
      <c r="AC7" s="229" t="n"/>
      <c r="AD7" s="229" t="n"/>
      <c r="AE7" s="229" t="n"/>
      <c r="AF7" s="229" t="n"/>
      <c r="AG7" s="229" t="n"/>
      <c r="AH7" s="230" t="n"/>
    </row>
    <row r="8" ht="12" customFormat="1" customHeight="1" s="54">
      <c r="B8" s="234" t="n"/>
      <c r="AH8" s="235" t="n"/>
    </row>
    <row r="9" ht="12" customFormat="1" customHeight="1" s="45">
      <c r="B9" s="234" t="n"/>
      <c r="AH9" s="235" t="n"/>
    </row>
    <row r="10" ht="12" customHeight="1">
      <c r="B10" s="234" t="n"/>
      <c r="AH10" s="235" t="n"/>
    </row>
    <row r="11" ht="12" customHeight="1">
      <c r="B11" s="234" t="n"/>
      <c r="AH11" s="235" t="n"/>
    </row>
    <row r="12" ht="12" customHeight="1">
      <c r="B12" s="236" t="n"/>
      <c r="C12" s="237" t="n"/>
      <c r="D12" s="237" t="n"/>
      <c r="E12" s="237" t="n"/>
      <c r="F12" s="237" t="n"/>
      <c r="G12" s="237" t="n"/>
      <c r="H12" s="237" t="n"/>
      <c r="I12" s="237" t="n"/>
      <c r="J12" s="237" t="n"/>
      <c r="K12" s="237" t="n"/>
      <c r="L12" s="237" t="n"/>
      <c r="M12" s="237" t="n"/>
      <c r="N12" s="237" t="n"/>
      <c r="O12" s="237" t="n"/>
      <c r="P12" s="237" t="n"/>
      <c r="Q12" s="237" t="n"/>
      <c r="R12" s="237" t="n"/>
      <c r="S12" s="237" t="n"/>
      <c r="T12" s="237" t="n"/>
      <c r="U12" s="237" t="n"/>
      <c r="V12" s="237" t="n"/>
      <c r="W12" s="237" t="n"/>
      <c r="X12" s="237" t="n"/>
      <c r="Y12" s="237" t="n"/>
      <c r="Z12" s="237" t="n"/>
      <c r="AA12" s="237" t="n"/>
      <c r="AB12" s="237" t="n"/>
      <c r="AC12" s="237" t="n"/>
      <c r="AD12" s="237" t="n"/>
      <c r="AE12" s="237" t="n"/>
      <c r="AF12" s="237" t="n"/>
      <c r="AG12" s="237" t="n"/>
      <c r="AH12" s="238" t="n"/>
    </row>
    <row r="13" ht="12" customHeight="1">
      <c r="B13" s="89" t="inlineStr">
        <is>
          <t>クラス名</t>
        </is>
      </c>
      <c r="C13" s="225" t="n"/>
      <c r="D13" s="225" t="n"/>
      <c r="E13" s="226" t="n"/>
      <c r="F13" s="206" t="inlineStr">
        <is>
          <t>SettlementCalculator</t>
        </is>
      </c>
      <c r="G13" s="225" t="n"/>
      <c r="H13" s="225" t="n"/>
      <c r="I13" s="225" t="n"/>
      <c r="J13" s="225" t="n"/>
      <c r="K13" s="225" t="n"/>
      <c r="L13" s="225" t="n"/>
      <c r="M13" s="225" t="n"/>
      <c r="N13" s="225" t="n"/>
      <c r="O13" s="225" t="n"/>
      <c r="P13" s="226" t="n"/>
      <c r="Q13" s="89" t="inlineStr">
        <is>
          <t>メソッド名</t>
        </is>
      </c>
      <c r="R13" s="225" t="n"/>
      <c r="S13" s="225" t="n"/>
      <c r="T13" s="226" t="n"/>
      <c r="U13" s="206" t="inlineStr">
        <is>
          <t>calculateSettlementAmount</t>
        </is>
      </c>
      <c r="V13" s="225" t="n"/>
      <c r="W13" s="225" t="n"/>
      <c r="X13" s="225" t="n"/>
      <c r="Y13" s="225" t="n"/>
      <c r="Z13" s="225" t="n"/>
      <c r="AA13" s="225" t="n"/>
      <c r="AB13" s="225" t="n"/>
      <c r="AC13" s="225" t="n"/>
      <c r="AD13" s="225" t="n"/>
      <c r="AE13" s="225" t="n"/>
      <c r="AF13" s="225" t="n"/>
      <c r="AG13" s="225" t="n"/>
      <c r="AH13" s="226" t="n"/>
    </row>
    <row r="14" ht="12" customHeight="1">
      <c r="B14" s="89" t="inlineStr">
        <is>
          <t>入出力パラメータ</t>
        </is>
      </c>
      <c r="C14" s="225" t="n"/>
      <c r="D14" s="225" t="n"/>
      <c r="E14" s="225" t="n"/>
      <c r="F14" s="225" t="n"/>
      <c r="G14" s="225" t="n"/>
      <c r="H14" s="225" t="n"/>
      <c r="I14" s="225" t="n"/>
      <c r="J14" s="225" t="n"/>
      <c r="K14" s="225" t="n"/>
      <c r="L14" s="225" t="n"/>
      <c r="M14" s="225" t="n"/>
      <c r="N14" s="225" t="n"/>
      <c r="O14" s="225" t="n"/>
      <c r="P14" s="225" t="n"/>
      <c r="Q14" s="225" t="n"/>
      <c r="R14" s="225" t="n"/>
      <c r="S14" s="225" t="n"/>
      <c r="T14" s="225" t="n"/>
      <c r="U14" s="225" t="n"/>
      <c r="V14" s="225" t="n"/>
      <c r="W14" s="225" t="n"/>
      <c r="X14" s="225" t="n"/>
      <c r="Y14" s="225" t="n"/>
      <c r="Z14" s="225" t="n"/>
      <c r="AA14" s="225" t="n"/>
      <c r="AB14" s="225" t="n"/>
      <c r="AC14" s="225" t="n"/>
      <c r="AD14" s="225" t="n"/>
      <c r="AE14" s="225" t="n"/>
      <c r="AF14" s="225" t="n"/>
      <c r="AG14" s="225" t="n"/>
      <c r="AH14" s="226" t="n"/>
    </row>
    <row r="15" ht="12" customHeight="1">
      <c r="B15" s="89" t="inlineStr">
        <is>
          <t>項目名</t>
        </is>
      </c>
      <c r="C15" s="225" t="n"/>
      <c r="D15" s="225" t="n"/>
      <c r="E15" s="225" t="n"/>
      <c r="F15" s="225" t="n"/>
      <c r="G15" s="225" t="n"/>
      <c r="H15" s="225" t="n"/>
      <c r="I15" s="226" t="n"/>
      <c r="J15" s="89" t="inlineStr">
        <is>
          <t>I/O</t>
        </is>
      </c>
      <c r="K15" s="226" t="n"/>
      <c r="L15" s="89" t="inlineStr">
        <is>
          <t>型</t>
        </is>
      </c>
      <c r="M15" s="225" t="n"/>
      <c r="N15" s="226" t="n"/>
      <c r="O15" s="89" t="inlineStr">
        <is>
          <t>必須</t>
        </is>
      </c>
      <c r="P15" s="226" t="n"/>
      <c r="Q15" s="89" t="inlineStr">
        <is>
          <t>項目説明</t>
        </is>
      </c>
      <c r="R15" s="225" t="n"/>
      <c r="S15" s="225" t="n"/>
      <c r="T15" s="225" t="n"/>
      <c r="U15" s="225" t="n"/>
      <c r="V15" s="225" t="n"/>
      <c r="W15" s="225" t="n"/>
      <c r="X15" s="225" t="n"/>
      <c r="Y15" s="225" t="n"/>
      <c r="Z15" s="225" t="n"/>
      <c r="AA15" s="225" t="n"/>
      <c r="AB15" s="225" t="n"/>
      <c r="AC15" s="225" t="n"/>
      <c r="AD15" s="225" t="n"/>
      <c r="AE15" s="225" t="n"/>
      <c r="AF15" s="225" t="n"/>
      <c r="AG15" s="225" t="n"/>
      <c r="AH15" s="226" t="n"/>
    </row>
    <row r="16" ht="12" customHeight="1">
      <c r="B16" s="206" t="inlineStr">
        <is>
          <t>費用負担区分</t>
        </is>
      </c>
      <c r="C16" s="225" t="n"/>
      <c r="D16" s="225" t="n"/>
      <c r="E16" s="225" t="n"/>
      <c r="F16" s="225" t="n"/>
      <c r="G16" s="225" t="n"/>
      <c r="H16" s="225" t="n"/>
      <c r="I16" s="226" t="n"/>
      <c r="J16" s="206" t="inlineStr">
        <is>
          <t>I</t>
        </is>
      </c>
      <c r="K16" s="226" t="n"/>
      <c r="L16" s="206" t="inlineStr">
        <is>
          <t>String</t>
        </is>
      </c>
      <c r="M16" s="225" t="n"/>
      <c r="N16" s="226" t="n"/>
      <c r="O16" s="255" t="inlineStr">
        <is>
          <t>○</t>
        </is>
      </c>
      <c r="P16" s="226" t="n"/>
      <c r="Q16" s="206" t="inlineStr">
        <is>
          <t>費用負担区分（コードC0020001）</t>
        </is>
      </c>
      <c r="R16" s="225" t="n"/>
      <c r="S16" s="225" t="n"/>
      <c r="T16" s="225" t="n"/>
      <c r="U16" s="225" t="n"/>
      <c r="V16" s="225" t="n"/>
      <c r="W16" s="225" t="n"/>
      <c r="X16" s="225" t="n"/>
      <c r="Y16" s="225" t="n"/>
      <c r="Z16" s="225" t="n"/>
      <c r="AA16" s="225" t="n"/>
      <c r="AB16" s="225" t="n"/>
      <c r="AC16" s="225" t="n"/>
      <c r="AD16" s="225" t="n"/>
      <c r="AE16" s="225" t="n"/>
      <c r="AF16" s="225" t="n"/>
      <c r="AG16" s="225" t="n"/>
      <c r="AH16" s="226" t="n"/>
    </row>
    <row r="17" ht="12" customHeight="1">
      <c r="B17" s="206" t="inlineStr">
        <is>
          <t>実績費用合計</t>
        </is>
      </c>
      <c r="C17" s="225" t="n"/>
      <c r="D17" s="225" t="n"/>
      <c r="E17" s="225" t="n"/>
      <c r="F17" s="225" t="n"/>
      <c r="G17" s="225" t="n"/>
      <c r="H17" s="225" t="n"/>
      <c r="I17" s="226" t="n"/>
      <c r="J17" s="206" t="inlineStr">
        <is>
          <t>I</t>
        </is>
      </c>
      <c r="K17" s="226" t="n"/>
      <c r="L17" s="206" t="inlineStr">
        <is>
          <t>Integer</t>
        </is>
      </c>
      <c r="M17" s="225" t="n"/>
      <c r="N17" s="226" t="n"/>
      <c r="O17" s="255" t="inlineStr">
        <is>
          <t>○</t>
        </is>
      </c>
      <c r="P17" s="226" t="n"/>
      <c r="Q17" s="206" t="inlineStr">
        <is>
          <t>出張実績費用明細のactual_amountの合計（円）</t>
        </is>
      </c>
      <c r="R17" s="225" t="n"/>
      <c r="S17" s="225" t="n"/>
      <c r="T17" s="225" t="n"/>
      <c r="U17" s="225" t="n"/>
      <c r="V17" s="225" t="n"/>
      <c r="W17" s="225" t="n"/>
      <c r="X17" s="225" t="n"/>
      <c r="Y17" s="225" t="n"/>
      <c r="Z17" s="225" t="n"/>
      <c r="AA17" s="225" t="n"/>
      <c r="AB17" s="225" t="n"/>
      <c r="AC17" s="225" t="n"/>
      <c r="AD17" s="225" t="n"/>
      <c r="AE17" s="225" t="n"/>
      <c r="AF17" s="225" t="n"/>
      <c r="AG17" s="225" t="n"/>
      <c r="AH17" s="226" t="n"/>
    </row>
    <row r="18" ht="12" customHeight="1">
      <c r="B18" s="206" t="inlineStr">
        <is>
          <t>精算額</t>
        </is>
      </c>
      <c r="C18" s="225" t="n"/>
      <c r="D18" s="225" t="n"/>
      <c r="E18" s="225" t="n"/>
      <c r="F18" s="225" t="n"/>
      <c r="G18" s="225" t="n"/>
      <c r="H18" s="225" t="n"/>
      <c r="I18" s="226" t="n"/>
      <c r="J18" s="206" t="inlineStr">
        <is>
          <t>O</t>
        </is>
      </c>
      <c r="K18" s="226" t="n"/>
      <c r="L18" s="206" t="inlineStr">
        <is>
          <t>Integer</t>
        </is>
      </c>
      <c r="M18" s="225" t="n"/>
      <c r="N18" s="226" t="n"/>
      <c r="O18" s="255" t="inlineStr">
        <is>
          <t>-</t>
        </is>
      </c>
      <c r="P18" s="226" t="n"/>
      <c r="Q18" s="206" t="inlineStr">
        <is>
          <t>会社が立て替える精算額（円）</t>
        </is>
      </c>
      <c r="R18" s="225" t="n"/>
      <c r="S18" s="225" t="n"/>
      <c r="T18" s="225" t="n"/>
      <c r="U18" s="225" t="n"/>
      <c r="V18" s="225" t="n"/>
      <c r="W18" s="225" t="n"/>
      <c r="X18" s="225" t="n"/>
      <c r="Y18" s="225" t="n"/>
      <c r="Z18" s="225" t="n"/>
      <c r="AA18" s="225" t="n"/>
      <c r="AB18" s="225" t="n"/>
      <c r="AC18" s="225" t="n"/>
      <c r="AD18" s="225" t="n"/>
      <c r="AE18" s="225" t="n"/>
      <c r="AF18" s="225" t="n"/>
      <c r="AG18" s="225" t="n"/>
      <c r="AH18" s="226" t="n"/>
    </row>
    <row r="19" ht="12" customHeight="1">
      <c r="B19" s="89" t="inlineStr">
        <is>
          <t>CRUD一覧</t>
        </is>
      </c>
      <c r="C19" s="225" t="n"/>
      <c r="D19" s="225" t="n"/>
      <c r="E19" s="225" t="n"/>
      <c r="F19" s="225" t="n"/>
      <c r="G19" s="225" t="n"/>
      <c r="H19" s="225" t="n"/>
      <c r="I19" s="225" t="n"/>
      <c r="J19" s="225" t="n"/>
      <c r="K19" s="225" t="n"/>
      <c r="L19" s="225" t="n"/>
      <c r="M19" s="225" t="n"/>
      <c r="N19" s="225" t="n"/>
      <c r="O19" s="225" t="n"/>
      <c r="P19" s="225" t="n"/>
      <c r="Q19" s="225" t="n"/>
      <c r="R19" s="225" t="n"/>
      <c r="S19" s="225" t="n"/>
      <c r="T19" s="225" t="n"/>
      <c r="U19" s="225" t="n"/>
      <c r="V19" s="225" t="n"/>
      <c r="W19" s="225" t="n"/>
      <c r="X19" s="225" t="n"/>
      <c r="Y19" s="225" t="n"/>
      <c r="Z19" s="225" t="n"/>
      <c r="AA19" s="225" t="n"/>
      <c r="AB19" s="225" t="n"/>
      <c r="AC19" s="225" t="n"/>
      <c r="AD19" s="225" t="n"/>
      <c r="AE19" s="225" t="n"/>
      <c r="AF19" s="225" t="n"/>
      <c r="AG19" s="225" t="n"/>
      <c r="AH19" s="226" t="n"/>
    </row>
    <row r="20" ht="12" customHeight="1">
      <c r="B20" s="89" t="inlineStr">
        <is>
          <t>テーブル名</t>
        </is>
      </c>
      <c r="C20" s="225" t="n"/>
      <c r="D20" s="225" t="n"/>
      <c r="E20" s="225" t="n"/>
      <c r="F20" s="225" t="n"/>
      <c r="G20" s="225" t="n"/>
      <c r="H20" s="225" t="n"/>
      <c r="I20" s="226" t="n"/>
      <c r="J20" s="89" t="inlineStr">
        <is>
          <t>C</t>
        </is>
      </c>
      <c r="K20" s="89" t="inlineStr">
        <is>
          <t>R</t>
        </is>
      </c>
      <c r="L20" s="89" t="inlineStr">
        <is>
          <t>U</t>
        </is>
      </c>
      <c r="M20" s="89" t="inlineStr">
        <is>
          <t>D</t>
        </is>
      </c>
      <c r="N20" s="89" t="inlineStr">
        <is>
          <t>備考</t>
        </is>
      </c>
      <c r="O20" s="225" t="n"/>
      <c r="P20" s="225" t="n"/>
      <c r="Q20" s="225" t="n"/>
      <c r="R20" s="225" t="n"/>
      <c r="S20" s="225" t="n"/>
      <c r="T20" s="225" t="n"/>
      <c r="U20" s="225" t="n"/>
      <c r="V20" s="225" t="n"/>
      <c r="W20" s="225" t="n"/>
      <c r="X20" s="225" t="n"/>
      <c r="Y20" s="225" t="n"/>
      <c r="Z20" s="225" t="n"/>
      <c r="AA20" s="225" t="n"/>
      <c r="AB20" s="225" t="n"/>
      <c r="AC20" s="225" t="n"/>
      <c r="AD20" s="225" t="n"/>
      <c r="AE20" s="225" t="n"/>
      <c r="AF20" s="225" t="n"/>
      <c r="AG20" s="225" t="n"/>
      <c r="AH20" s="226" t="n"/>
    </row>
    <row r="21" ht="12" customHeight="1">
      <c r="B21" s="206" t="inlineStr">
        <is>
          <t>-</t>
        </is>
      </c>
      <c r="C21" s="225" t="n"/>
      <c r="D21" s="225" t="n"/>
      <c r="E21" s="225" t="n"/>
      <c r="F21" s="225" t="n"/>
      <c r="G21" s="225" t="n"/>
      <c r="H21" s="225" t="n"/>
      <c r="I21" s="226" t="n"/>
      <c r="J21" s="207" t="inlineStr">
        <is>
          <t>-</t>
        </is>
      </c>
      <c r="K21" s="207" t="inlineStr">
        <is>
          <t>-</t>
        </is>
      </c>
      <c r="L21" s="207" t="inlineStr">
        <is>
          <t>-</t>
        </is>
      </c>
      <c r="M21" s="207" t="inlineStr">
        <is>
          <t>-</t>
        </is>
      </c>
      <c r="N21" s="206" t="inlineStr">
        <is>
          <t>DBアクセスなし</t>
        </is>
      </c>
      <c r="O21" s="225" t="n"/>
      <c r="P21" s="225" t="n"/>
      <c r="Q21" s="225" t="n"/>
      <c r="R21" s="225" t="n"/>
      <c r="S21" s="225" t="n"/>
      <c r="T21" s="225" t="n"/>
      <c r="U21" s="225" t="n"/>
      <c r="V21" s="225" t="n"/>
      <c r="W21" s="225" t="n"/>
      <c r="X21" s="225" t="n"/>
      <c r="Y21" s="225" t="n"/>
      <c r="Z21" s="225" t="n"/>
      <c r="AA21" s="225" t="n"/>
      <c r="AB21" s="225" t="n"/>
      <c r="AC21" s="225" t="n"/>
      <c r="AD21" s="225" t="n"/>
      <c r="AE21" s="225" t="n"/>
      <c r="AF21" s="225" t="n"/>
      <c r="AG21" s="225" t="n"/>
      <c r="AH21" s="226" t="n"/>
    </row>
    <row r="22" ht="12" customHeight="1">
      <c r="B22" s="206" t="n"/>
      <c r="C22" s="225" t="n"/>
      <c r="D22" s="225" t="n"/>
      <c r="E22" s="225" t="n"/>
      <c r="F22" s="225" t="n"/>
      <c r="G22" s="225" t="n"/>
      <c r="H22" s="225" t="n"/>
      <c r="I22" s="226" t="n"/>
      <c r="J22" s="207" t="n"/>
      <c r="K22" s="207" t="n"/>
      <c r="L22" s="207" t="n"/>
      <c r="M22" s="207" t="n"/>
      <c r="N22" s="206" t="n"/>
      <c r="O22" s="225" t="n"/>
      <c r="P22" s="225" t="n"/>
      <c r="Q22" s="225" t="n"/>
      <c r="R22" s="225" t="n"/>
      <c r="S22" s="225" t="n"/>
      <c r="T22" s="225" t="n"/>
      <c r="U22" s="225" t="n"/>
      <c r="V22" s="225" t="n"/>
      <c r="W22" s="225" t="n"/>
      <c r="X22" s="225" t="n"/>
      <c r="Y22" s="225" t="n"/>
      <c r="Z22" s="225" t="n"/>
      <c r="AA22" s="225" t="n"/>
      <c r="AB22" s="225" t="n"/>
      <c r="AC22" s="225" t="n"/>
      <c r="AD22" s="225" t="n"/>
      <c r="AE22" s="225" t="n"/>
      <c r="AF22" s="225" t="n"/>
      <c r="AG22" s="225" t="n"/>
      <c r="AH22" s="226" t="n"/>
    </row>
    <row r="23" ht="12" customHeight="1">
      <c r="B23" s="89" t="inlineStr">
        <is>
          <t>エラー情報</t>
        </is>
      </c>
      <c r="C23" s="225" t="n"/>
      <c r="D23" s="225" t="n"/>
      <c r="E23" s="225" t="n"/>
      <c r="F23" s="225" t="n"/>
      <c r="G23" s="225" t="n"/>
      <c r="H23" s="225" t="n"/>
      <c r="I23" s="225" t="n"/>
      <c r="J23" s="225" t="n"/>
      <c r="K23" s="225" t="n"/>
      <c r="L23" s="225" t="n"/>
      <c r="M23" s="225" t="n"/>
      <c r="N23" s="225" t="n"/>
      <c r="O23" s="225" t="n"/>
      <c r="P23" s="225" t="n"/>
      <c r="Q23" s="225" t="n"/>
      <c r="R23" s="225" t="n"/>
      <c r="S23" s="225" t="n"/>
      <c r="T23" s="225" t="n"/>
      <c r="U23" s="225" t="n"/>
      <c r="V23" s="225" t="n"/>
      <c r="W23" s="225" t="n"/>
      <c r="X23" s="225" t="n"/>
      <c r="Y23" s="225" t="n"/>
      <c r="Z23" s="225" t="n"/>
      <c r="AA23" s="225" t="n"/>
      <c r="AB23" s="225" t="n"/>
      <c r="AC23" s="225" t="n"/>
      <c r="AD23" s="225" t="n"/>
      <c r="AE23" s="225" t="n"/>
      <c r="AF23" s="225" t="n"/>
      <c r="AG23" s="225" t="n"/>
      <c r="AH23" s="226" t="n"/>
    </row>
    <row r="24" ht="24" customHeight="1">
      <c r="B24" s="256" t="inlineStr">
        <is>
          <t>エラー
番号</t>
        </is>
      </c>
      <c r="C24" s="226" t="n"/>
      <c r="D24" s="89" t="inlineStr">
        <is>
          <t>エラー名</t>
        </is>
      </c>
      <c r="E24" s="225" t="n"/>
      <c r="F24" s="225" t="n"/>
      <c r="G24" s="225" t="n"/>
      <c r="H24" s="225" t="n"/>
      <c r="I24" s="225" t="n"/>
      <c r="J24" s="226" t="n"/>
      <c r="K24" s="89" t="inlineStr">
        <is>
          <t>エラー種別</t>
        </is>
      </c>
      <c r="L24" s="225" t="n"/>
      <c r="M24" s="225" t="n"/>
      <c r="N24" s="225" t="n"/>
      <c r="O24" s="226" t="n"/>
      <c r="P24" s="89" t="inlineStr">
        <is>
          <t>メッセージID</t>
        </is>
      </c>
      <c r="Q24" s="225" t="n"/>
      <c r="R24" s="226" t="n"/>
      <c r="S24" s="89" t="inlineStr">
        <is>
          <t>埋め込み文字列</t>
        </is>
      </c>
      <c r="T24" s="225" t="n"/>
      <c r="U24" s="225" t="n"/>
      <c r="V24" s="225" t="n"/>
      <c r="W24" s="226" t="n"/>
      <c r="X24" s="89" t="inlineStr">
        <is>
          <t>エラー概要</t>
        </is>
      </c>
      <c r="Y24" s="225" t="n"/>
      <c r="Z24" s="225" t="n"/>
      <c r="AA24" s="225" t="n"/>
      <c r="AB24" s="225" t="n"/>
      <c r="AC24" s="225" t="n"/>
      <c r="AD24" s="225" t="n"/>
      <c r="AE24" s="225" t="n"/>
      <c r="AF24" s="225" t="n"/>
      <c r="AG24" s="225" t="n"/>
      <c r="AH24" s="226" t="n"/>
    </row>
    <row r="25">
      <c r="B25" s="257" t="inlineStr">
        <is>
          <t>-</t>
        </is>
      </c>
      <c r="C25" s="226" t="n"/>
      <c r="D25" s="250" t="inlineStr">
        <is>
          <t>該当なし</t>
        </is>
      </c>
      <c r="E25" s="225" t="n"/>
      <c r="F25" s="225" t="n"/>
      <c r="G25" s="225" t="n"/>
      <c r="H25" s="225" t="n"/>
      <c r="I25" s="225" t="n"/>
      <c r="J25" s="226" t="n"/>
      <c r="K25" s="250" t="inlineStr">
        <is>
          <t>-</t>
        </is>
      </c>
      <c r="L25" s="225" t="n"/>
      <c r="M25" s="225" t="n"/>
      <c r="N25" s="225" t="n"/>
      <c r="O25" s="226" t="n"/>
      <c r="P25" s="250" t="inlineStr">
        <is>
          <t>-</t>
        </is>
      </c>
      <c r="Q25" s="225" t="n"/>
      <c r="R25" s="226" t="n"/>
      <c r="S25" s="250" t="inlineStr">
        <is>
          <t>-</t>
        </is>
      </c>
      <c r="T25" s="225" t="n"/>
      <c r="U25" s="225" t="n"/>
      <c r="V25" s="225" t="n"/>
      <c r="W25" s="226" t="n"/>
      <c r="X25" s="250" t="inlineStr">
        <is>
          <t>-</t>
        </is>
      </c>
      <c r="Y25" s="225" t="n"/>
      <c r="Z25" s="225" t="n"/>
      <c r="AA25" s="225" t="n"/>
      <c r="AB25" s="225" t="n"/>
      <c r="AC25" s="225" t="n"/>
      <c r="AD25" s="225" t="n"/>
      <c r="AE25" s="225" t="n"/>
      <c r="AF25" s="225" t="n"/>
      <c r="AG25" s="225" t="n"/>
      <c r="AH25" s="226" t="n"/>
      <c r="AI25" s="22" t="n"/>
    </row>
    <row r="26" ht="12" customHeight="1"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54" t="n"/>
      <c r="AJ26" s="54" t="n"/>
    </row>
    <row r="27" ht="24" customHeight="1">
      <c r="B27" s="258" t="inlineStr">
        <is>
          <t>処理定義</t>
        </is>
      </c>
      <c r="C27" s="225" t="n"/>
      <c r="D27" s="225" t="n"/>
      <c r="E27" s="225" t="n"/>
      <c r="F27" s="225" t="n"/>
      <c r="G27" s="225" t="n"/>
      <c r="H27" s="225" t="n"/>
      <c r="I27" s="225" t="n"/>
      <c r="J27" s="225" t="n"/>
      <c r="K27" s="225" t="n"/>
      <c r="L27" s="225" t="n"/>
      <c r="M27" s="225" t="n"/>
      <c r="N27" s="225" t="n"/>
      <c r="O27" s="225" t="n"/>
      <c r="P27" s="225" t="n"/>
      <c r="Q27" s="225" t="n"/>
      <c r="R27" s="225" t="n"/>
      <c r="S27" s="225" t="n"/>
      <c r="T27" s="225" t="n"/>
      <c r="U27" s="225" t="n"/>
      <c r="V27" s="225" t="n"/>
      <c r="W27" s="225" t="n"/>
      <c r="X27" s="226" t="n"/>
      <c r="Y27" s="258" t="inlineStr">
        <is>
          <t>共通ｺﾝﾎﾟｰﾈﾝﾄID</t>
        </is>
      </c>
      <c r="Z27" s="225" t="n"/>
      <c r="AA27" s="226" t="n"/>
      <c r="AB27" s="258" t="inlineStr">
        <is>
          <t>共通ｺﾝﾎﾟｰﾈﾝﾄ処理名</t>
        </is>
      </c>
      <c r="AC27" s="225" t="n"/>
      <c r="AD27" s="225" t="n"/>
      <c r="AE27" s="225" t="n"/>
      <c r="AF27" s="226" t="n"/>
      <c r="AG27" s="256" t="inlineStr">
        <is>
          <t>エラー
番号</t>
        </is>
      </c>
      <c r="AH27" s="226" t="n"/>
      <c r="AI27" s="45" t="n"/>
      <c r="AJ27" s="45" t="n"/>
      <c r="AK27" s="45" t="n"/>
    </row>
    <row r="28" ht="12" customHeight="1">
      <c r="B28" s="216" t="inlineStr">
        <is>
          <t>1. 精算額計算処理</t>
        </is>
      </c>
      <c r="C28" s="198" t="n"/>
      <c r="D28" s="198" t="n"/>
      <c r="E28" s="198" t="n"/>
      <c r="F28" s="198" t="n"/>
      <c r="G28" s="198" t="n"/>
      <c r="H28" s="198" t="n"/>
      <c r="I28" s="198" t="n"/>
      <c r="J28" s="198" t="n"/>
      <c r="K28" s="198" t="n"/>
      <c r="L28" s="198" t="n"/>
      <c r="M28" s="198" t="n"/>
      <c r="N28" s="198" t="n"/>
      <c r="O28" s="198" t="n"/>
      <c r="P28" s="198" t="n"/>
      <c r="Q28" s="198" t="n"/>
      <c r="R28" s="198" t="n"/>
      <c r="S28" s="198" t="n"/>
      <c r="T28" s="198" t="n"/>
      <c r="U28" s="198" t="n"/>
      <c r="V28" s="198" t="n"/>
      <c r="W28" s="198" t="n"/>
      <c r="X28" s="199" t="n"/>
      <c r="Y28" s="259" t="n"/>
      <c r="Z28" s="229" t="n"/>
      <c r="AA28" s="230" t="n"/>
      <c r="AB28" s="259" t="n"/>
      <c r="AC28" s="229" t="n"/>
      <c r="AD28" s="229" t="n"/>
      <c r="AE28" s="229" t="n"/>
      <c r="AF28" s="230" t="n"/>
      <c r="AG28" s="260" t="n"/>
      <c r="AH28" s="230" t="n"/>
    </row>
    <row r="29" ht="12" customHeight="1">
      <c r="B29" s="200" t="n"/>
      <c r="C29" s="201" t="inlineStr">
        <is>
          <t xml:space="preserve">　（1） 費用負担区分が '01'（自社負担）の場合、実績費用合計をそのまま精算額とする。</t>
        </is>
      </c>
      <c r="D29" s="201" t="n"/>
      <c r="E29" s="201" t="n"/>
      <c r="F29" s="201" t="n"/>
      <c r="G29" s="201" t="n"/>
      <c r="H29" s="201" t="n"/>
      <c r="I29" s="201" t="n"/>
      <c r="J29" s="201" t="n"/>
      <c r="K29" s="201" t="n"/>
      <c r="L29" s="201" t="n"/>
      <c r="M29" s="201" t="n"/>
      <c r="N29" s="201" t="n"/>
      <c r="O29" s="201" t="n"/>
      <c r="P29" s="201" t="n"/>
      <c r="Q29" s="201" t="n"/>
      <c r="R29" s="201" t="n"/>
      <c r="S29" s="201" t="n"/>
      <c r="T29" s="201" t="n"/>
      <c r="U29" s="201" t="n"/>
      <c r="V29" s="201" t="n"/>
      <c r="W29" s="201" t="n"/>
      <c r="X29" s="202" t="n"/>
      <c r="Y29" s="261" t="n"/>
      <c r="AA29" s="235" t="n"/>
      <c r="AB29" s="261" t="n"/>
      <c r="AF29" s="235" t="n"/>
      <c r="AG29" s="262" t="n"/>
      <c r="AH29" s="235" t="n"/>
    </row>
    <row r="30" ht="12" customHeight="1">
      <c r="B30" s="200" t="n"/>
      <c r="C30" s="201" t="inlineStr">
        <is>
          <t xml:space="preserve">　（2） 費用負担区分が '02'（先方負担）の場合、精算額を 0 円とする。</t>
        </is>
      </c>
      <c r="D30" s="201" t="n"/>
      <c r="E30" s="201" t="n"/>
      <c r="F30" s="201" t="n"/>
      <c r="G30" s="201" t="n"/>
      <c r="H30" s="201" t="n"/>
      <c r="I30" s="201" t="n"/>
      <c r="J30" s="201" t="n"/>
      <c r="K30" s="201" t="n"/>
      <c r="L30" s="201" t="n"/>
      <c r="M30" s="201" t="n"/>
      <c r="N30" s="201" t="n"/>
      <c r="O30" s="201" t="n"/>
      <c r="P30" s="201" t="n"/>
      <c r="Q30" s="201" t="n"/>
      <c r="R30" s="201" t="n"/>
      <c r="S30" s="201" t="n"/>
      <c r="T30" s="201" t="n"/>
      <c r="U30" s="201" t="n"/>
      <c r="V30" s="201" t="n"/>
      <c r="W30" s="201" t="n"/>
      <c r="X30" s="202" t="n"/>
      <c r="Y30" s="261" t="n"/>
      <c r="AA30" s="235" t="n"/>
      <c r="AB30" s="261" t="n"/>
      <c r="AF30" s="235" t="n"/>
      <c r="AG30" s="262" t="n"/>
      <c r="AH30" s="235" t="n"/>
    </row>
    <row r="31" ht="12" customHeight="1">
      <c r="B31" s="200" t="inlineStr">
        <is>
          <t>2. 戻り値返却</t>
        </is>
      </c>
      <c r="C31" s="201" t="n"/>
      <c r="D31" s="201" t="n"/>
      <c r="E31" s="201" t="n"/>
      <c r="F31" s="201" t="n"/>
      <c r="G31" s="201" t="n"/>
      <c r="H31" s="201" t="n"/>
      <c r="I31" s="201" t="n"/>
      <c r="J31" s="201" t="n"/>
      <c r="K31" s="201" t="n"/>
      <c r="L31" s="201" t="n"/>
      <c r="M31" s="201" t="n"/>
      <c r="N31" s="201" t="n"/>
      <c r="O31" s="201" t="n"/>
      <c r="P31" s="201" t="n"/>
      <c r="Q31" s="201" t="n"/>
      <c r="R31" s="201" t="n"/>
      <c r="S31" s="201" t="n"/>
      <c r="T31" s="201" t="n"/>
      <c r="U31" s="201" t="n"/>
      <c r="V31" s="201" t="n"/>
      <c r="W31" s="201" t="n"/>
      <c r="X31" s="202" t="n"/>
      <c r="Y31" s="261" t="n"/>
      <c r="AA31" s="235" t="n"/>
      <c r="AB31" s="261" t="n"/>
      <c r="AF31" s="235" t="n"/>
      <c r="AG31" s="262" t="n"/>
      <c r="AH31" s="235" t="n"/>
    </row>
    <row r="32" ht="12" customHeight="1">
      <c r="B32" s="200" t="n"/>
      <c r="C32" s="201" t="inlineStr">
        <is>
          <t xml:space="preserve">　算出した精算額を呼び元へ返却する。</t>
        </is>
      </c>
      <c r="D32" s="201" t="n"/>
      <c r="E32" s="201" t="n"/>
      <c r="F32" s="201" t="n"/>
      <c r="G32" s="201" t="n"/>
      <c r="H32" s="201" t="n"/>
      <c r="I32" s="201" t="n"/>
      <c r="J32" s="201" t="n"/>
      <c r="K32" s="201" t="n"/>
      <c r="L32" s="201" t="n"/>
      <c r="M32" s="201" t="n"/>
      <c r="N32" s="201" t="n"/>
      <c r="O32" s="201" t="n"/>
      <c r="P32" s="201" t="n"/>
      <c r="Q32" s="201" t="n"/>
      <c r="R32" s="201" t="n"/>
      <c r="S32" s="201" t="n"/>
      <c r="T32" s="201" t="n"/>
      <c r="U32" s="201" t="n"/>
      <c r="V32" s="201" t="n"/>
      <c r="W32" s="201" t="n"/>
      <c r="X32" s="202" t="n"/>
      <c r="Y32" s="261" t="n"/>
      <c r="AA32" s="235" t="n"/>
      <c r="AB32" s="261" t="n"/>
      <c r="AF32" s="235" t="n"/>
      <c r="AG32" s="262" t="n"/>
      <c r="AH32" s="235" t="n"/>
    </row>
    <row r="33" ht="12" customHeight="1">
      <c r="B33" s="200" t="n"/>
      <c r="C33" s="201" t="n"/>
      <c r="D33" s="201" t="n"/>
      <c r="E33" s="201" t="n"/>
      <c r="F33" s="201" t="n"/>
      <c r="G33" s="201" t="n"/>
      <c r="H33" s="201" t="n"/>
      <c r="I33" s="201" t="n"/>
      <c r="J33" s="201" t="n"/>
      <c r="K33" s="201" t="n"/>
      <c r="L33" s="201" t="n"/>
      <c r="M33" s="201" t="n"/>
      <c r="N33" s="201" t="n"/>
      <c r="O33" s="201" t="n"/>
      <c r="P33" s="201" t="n"/>
      <c r="Q33" s="201" t="n"/>
      <c r="R33" s="201" t="n"/>
      <c r="S33" s="201" t="n"/>
      <c r="T33" s="201" t="n"/>
      <c r="U33" s="201" t="n"/>
      <c r="V33" s="201" t="n"/>
      <c r="W33" s="201" t="n"/>
      <c r="X33" s="202" t="n"/>
      <c r="Y33" s="261" t="n"/>
      <c r="AA33" s="235" t="n"/>
      <c r="AB33" s="261" t="n"/>
      <c r="AF33" s="235" t="n"/>
      <c r="AG33" s="262" t="n"/>
      <c r="AH33" s="235" t="n"/>
    </row>
    <row r="34" ht="12" customHeight="1">
      <c r="B34" s="200" t="n"/>
      <c r="C34" s="201" t="n"/>
      <c r="D34" s="201" t="n"/>
      <c r="E34" s="201" t="n"/>
      <c r="F34" s="201" t="n"/>
      <c r="G34" s="201" t="n"/>
      <c r="H34" s="201" t="n"/>
      <c r="I34" s="201" t="n"/>
      <c r="J34" s="201" t="n"/>
      <c r="K34" s="201" t="n"/>
      <c r="L34" s="201" t="n"/>
      <c r="M34" s="201" t="n"/>
      <c r="N34" s="201" t="n"/>
      <c r="O34" s="201" t="n"/>
      <c r="P34" s="201" t="n"/>
      <c r="Q34" s="201" t="n"/>
      <c r="R34" s="201" t="n"/>
      <c r="S34" s="201" t="n"/>
      <c r="T34" s="201" t="n"/>
      <c r="U34" s="201" t="n"/>
      <c r="V34" s="201" t="n"/>
      <c r="W34" s="201" t="n"/>
      <c r="X34" s="202" t="n"/>
      <c r="Y34" s="261" t="n"/>
      <c r="AA34" s="235" t="n"/>
      <c r="AB34" s="261" t="n"/>
      <c r="AF34" s="235" t="n"/>
      <c r="AG34" s="262" t="n"/>
      <c r="AH34" s="235" t="n"/>
    </row>
    <row r="35" ht="12" customHeight="1">
      <c r="B35" s="200" t="n"/>
      <c r="C35" s="201" t="n"/>
      <c r="D35" s="201" t="n"/>
      <c r="E35" s="201" t="n"/>
      <c r="F35" s="201" t="n"/>
      <c r="G35" s="201" t="n"/>
      <c r="H35" s="201" t="n"/>
      <c r="I35" s="201" t="n"/>
      <c r="J35" s="201" t="n"/>
      <c r="K35" s="201" t="n"/>
      <c r="L35" s="201" t="n"/>
      <c r="M35" s="201" t="n"/>
      <c r="N35" s="201" t="n"/>
      <c r="O35" s="201" t="n"/>
      <c r="P35" s="201" t="n"/>
      <c r="Q35" s="201" t="n"/>
      <c r="R35" s="201" t="n"/>
      <c r="S35" s="201" t="n"/>
      <c r="T35" s="201" t="n"/>
      <c r="U35" s="201" t="n"/>
      <c r="V35" s="201" t="n"/>
      <c r="W35" s="201" t="n"/>
      <c r="X35" s="202" t="n"/>
      <c r="Y35" s="261" t="n"/>
      <c r="AA35" s="235" t="n"/>
      <c r="AB35" s="261" t="n"/>
      <c r="AF35" s="235" t="n"/>
      <c r="AG35" s="262" t="n"/>
      <c r="AH35" s="235" t="n"/>
    </row>
    <row r="36" ht="12" customHeight="1">
      <c r="B36" s="200" t="n"/>
      <c r="C36" s="201" t="n"/>
      <c r="D36" s="201" t="n"/>
      <c r="E36" s="201" t="n"/>
      <c r="F36" s="201" t="n"/>
      <c r="G36" s="201" t="n"/>
      <c r="H36" s="201" t="n"/>
      <c r="I36" s="201" t="n"/>
      <c r="J36" s="201" t="n"/>
      <c r="K36" s="201" t="n"/>
      <c r="L36" s="201" t="n"/>
      <c r="M36" s="201" t="n"/>
      <c r="N36" s="201" t="n"/>
      <c r="O36" s="201" t="n"/>
      <c r="P36" s="201" t="n"/>
      <c r="Q36" s="201" t="n"/>
      <c r="R36" s="201" t="n"/>
      <c r="S36" s="201" t="n"/>
      <c r="T36" s="201" t="n"/>
      <c r="U36" s="201" t="n"/>
      <c r="V36" s="201" t="n"/>
      <c r="W36" s="201" t="n"/>
      <c r="X36" s="202" t="n"/>
      <c r="Y36" s="261" t="n"/>
      <c r="AA36" s="235" t="n"/>
      <c r="AB36" s="261" t="n"/>
      <c r="AF36" s="235" t="n"/>
      <c r="AG36" s="262" t="n"/>
      <c r="AH36" s="235" t="n"/>
    </row>
    <row r="37" ht="12" customHeight="1">
      <c r="B37" s="200" t="n"/>
      <c r="C37" s="201" t="n"/>
      <c r="D37" s="201" t="n"/>
      <c r="E37" s="201" t="n"/>
      <c r="F37" s="201" t="n"/>
      <c r="G37" s="201" t="n"/>
      <c r="H37" s="201" t="n"/>
      <c r="I37" s="201" t="n"/>
      <c r="J37" s="201" t="n"/>
      <c r="K37" s="201" t="n"/>
      <c r="L37" s="201" t="n"/>
      <c r="M37" s="201" t="n"/>
      <c r="N37" s="201" t="n"/>
      <c r="O37" s="201" t="n"/>
      <c r="P37" s="201" t="n"/>
      <c r="Q37" s="201" t="n"/>
      <c r="R37" s="201" t="n"/>
      <c r="S37" s="201" t="n"/>
      <c r="T37" s="201" t="n"/>
      <c r="U37" s="201" t="n"/>
      <c r="V37" s="201" t="n"/>
      <c r="W37" s="201" t="n"/>
      <c r="X37" s="202" t="n"/>
      <c r="Y37" s="261" t="n"/>
      <c r="AA37" s="235" t="n"/>
      <c r="AB37" s="261" t="n"/>
      <c r="AF37" s="235" t="n"/>
      <c r="AG37" s="262" t="n"/>
      <c r="AH37" s="235" t="n"/>
    </row>
    <row r="38" ht="12" customHeight="1">
      <c r="B38" s="200" t="n"/>
      <c r="C38" s="201" t="n"/>
      <c r="D38" s="201" t="n"/>
      <c r="E38" s="201" t="n"/>
      <c r="F38" s="201" t="n"/>
      <c r="G38" s="201" t="n"/>
      <c r="H38" s="201" t="n"/>
      <c r="I38" s="201" t="n"/>
      <c r="J38" s="201" t="n"/>
      <c r="K38" s="201" t="n"/>
      <c r="L38" s="201" t="n"/>
      <c r="M38" s="201" t="n"/>
      <c r="N38" s="201" t="n"/>
      <c r="O38" s="201" t="n"/>
      <c r="P38" s="201" t="n"/>
      <c r="Q38" s="201" t="n"/>
      <c r="R38" s="201" t="n"/>
      <c r="S38" s="201" t="n"/>
      <c r="T38" s="201" t="n"/>
      <c r="U38" s="201" t="n"/>
      <c r="V38" s="201" t="n"/>
      <c r="W38" s="201" t="n"/>
      <c r="X38" s="202" t="n"/>
      <c r="Y38" s="261" t="n"/>
      <c r="AA38" s="235" t="n"/>
      <c r="AB38" s="261" t="n"/>
      <c r="AF38" s="235" t="n"/>
      <c r="AG38" s="262" t="n"/>
      <c r="AH38" s="235" t="n"/>
    </row>
    <row r="39" ht="12" customHeight="1">
      <c r="B39" s="200" t="n"/>
      <c r="C39" s="201" t="n"/>
      <c r="D39" s="201" t="n"/>
      <c r="E39" s="201" t="n"/>
      <c r="F39" s="201" t="n"/>
      <c r="G39" s="201" t="n"/>
      <c r="H39" s="201" t="n"/>
      <c r="I39" s="201" t="n"/>
      <c r="J39" s="201" t="n"/>
      <c r="K39" s="201" t="n"/>
      <c r="L39" s="201" t="n"/>
      <c r="M39" s="201" t="n"/>
      <c r="N39" s="201" t="n"/>
      <c r="O39" s="201" t="n"/>
      <c r="P39" s="201" t="n"/>
      <c r="Q39" s="201" t="n"/>
      <c r="R39" s="201" t="n"/>
      <c r="S39" s="201" t="n"/>
      <c r="T39" s="201" t="n"/>
      <c r="U39" s="201" t="n"/>
      <c r="V39" s="201" t="n"/>
      <c r="W39" s="201" t="n"/>
      <c r="X39" s="202" t="n"/>
      <c r="Y39" s="261" t="n"/>
      <c r="AA39" s="235" t="n"/>
      <c r="AB39" s="261" t="n"/>
      <c r="AF39" s="235" t="n"/>
      <c r="AG39" s="262" t="n"/>
      <c r="AH39" s="235" t="n"/>
    </row>
    <row r="40" ht="12" customHeight="1">
      <c r="B40" s="200" t="n"/>
      <c r="C40" s="201" t="n"/>
      <c r="D40" s="201" t="n"/>
      <c r="E40" s="201" t="n"/>
      <c r="F40" s="201" t="n"/>
      <c r="G40" s="201" t="n"/>
      <c r="H40" s="201" t="n"/>
      <c r="I40" s="201" t="n"/>
      <c r="J40" s="201" t="n"/>
      <c r="K40" s="201" t="n"/>
      <c r="L40" s="201" t="n"/>
      <c r="M40" s="201" t="n"/>
      <c r="N40" s="201" t="n"/>
      <c r="O40" s="201" t="n"/>
      <c r="P40" s="201" t="n"/>
      <c r="Q40" s="201" t="n"/>
      <c r="R40" s="201" t="n"/>
      <c r="S40" s="201" t="n"/>
      <c r="T40" s="201" t="n"/>
      <c r="U40" s="201" t="n"/>
      <c r="V40" s="201" t="n"/>
      <c r="W40" s="201" t="n"/>
      <c r="X40" s="202" t="n"/>
      <c r="Y40" s="261" t="n"/>
      <c r="AA40" s="235" t="n"/>
      <c r="AB40" s="261" t="n"/>
      <c r="AF40" s="235" t="n"/>
      <c r="AG40" s="262" t="n"/>
      <c r="AH40" s="235" t="n"/>
    </row>
    <row r="41" ht="12" customHeight="1">
      <c r="B41" s="203" t="n"/>
      <c r="C41" s="204" t="n"/>
      <c r="D41" s="204" t="n"/>
      <c r="E41" s="204" t="n"/>
      <c r="F41" s="204" t="n"/>
      <c r="G41" s="204" t="n"/>
      <c r="H41" s="204" t="n"/>
      <c r="I41" s="204" t="n"/>
      <c r="J41" s="204" t="n"/>
      <c r="K41" s="204" t="n"/>
      <c r="L41" s="204" t="n"/>
      <c r="M41" s="204" t="n"/>
      <c r="N41" s="204" t="n"/>
      <c r="O41" s="204" t="n"/>
      <c r="P41" s="204" t="n"/>
      <c r="Q41" s="204" t="n"/>
      <c r="R41" s="204" t="n"/>
      <c r="S41" s="204" t="n"/>
      <c r="T41" s="204" t="n"/>
      <c r="U41" s="204" t="n"/>
      <c r="V41" s="204" t="n"/>
      <c r="W41" s="204" t="n"/>
      <c r="X41" s="205" t="n"/>
      <c r="Y41" s="263" t="n"/>
      <c r="Z41" s="237" t="n"/>
      <c r="AA41" s="238" t="n"/>
      <c r="AB41" s="263" t="n"/>
      <c r="AC41" s="237" t="n"/>
      <c r="AD41" s="237" t="n"/>
      <c r="AE41" s="237" t="n"/>
      <c r="AF41" s="238" t="n"/>
      <c r="AG41" s="86" t="n"/>
      <c r="AH41" s="238" t="n"/>
    </row>
    <row r="42" ht="12" customHeight="1"/>
    <row r="43" ht="12" customHeight="1"/>
    <row r="44" ht="12" customHeight="1"/>
  </sheetData>
  <mergeCells count="116">
    <mergeCell ref="F5:H5"/>
    <mergeCell ref="S1:Z3"/>
    <mergeCell ref="O15:P15"/>
    <mergeCell ref="D24:J24"/>
    <mergeCell ref="AG41:AH41"/>
    <mergeCell ref="Y40:AA40"/>
    <mergeCell ref="AB41:AF41"/>
    <mergeCell ref="AB35:AF35"/>
    <mergeCell ref="B27:X27"/>
    <mergeCell ref="Q13:T13"/>
    <mergeCell ref="AG27:AH27"/>
    <mergeCell ref="B19:AH19"/>
    <mergeCell ref="AB27:AF27"/>
    <mergeCell ref="B17:I17"/>
    <mergeCell ref="AB36:AF36"/>
    <mergeCell ref="O16:P16"/>
    <mergeCell ref="Q17:AH17"/>
    <mergeCell ref="U13:AH13"/>
    <mergeCell ref="S24:W24"/>
    <mergeCell ref="F13:P13"/>
    <mergeCell ref="B24:C24"/>
    <mergeCell ref="O17:P17"/>
    <mergeCell ref="B13:E13"/>
    <mergeCell ref="AA2:AB2"/>
    <mergeCell ref="O1:R3"/>
    <mergeCell ref="A2:D2"/>
    <mergeCell ref="Y39:AA39"/>
    <mergeCell ref="Y30:AA30"/>
    <mergeCell ref="L15:N15"/>
    <mergeCell ref="AG2:AI2"/>
    <mergeCell ref="S25:W25"/>
    <mergeCell ref="AG29:AH29"/>
    <mergeCell ref="Y29:AA29"/>
    <mergeCell ref="B25:C25"/>
    <mergeCell ref="K25:O25"/>
    <mergeCell ref="AG38:AH38"/>
    <mergeCell ref="L18:N18"/>
    <mergeCell ref="B22:I22"/>
    <mergeCell ref="AC2:AF2"/>
    <mergeCell ref="AG31:AH31"/>
    <mergeCell ref="Y31:AA31"/>
    <mergeCell ref="B23:AH23"/>
    <mergeCell ref="AG40:AH40"/>
    <mergeCell ref="AB32:AF32"/>
    <mergeCell ref="B21:I21"/>
    <mergeCell ref="AB40:AF40"/>
    <mergeCell ref="Y28:AA28"/>
    <mergeCell ref="Y37:AA37"/>
    <mergeCell ref="Z5:AH5"/>
    <mergeCell ref="AG32:AH32"/>
    <mergeCell ref="Y32:AA32"/>
    <mergeCell ref="Y41:AA41"/>
    <mergeCell ref="B7:AH12"/>
    <mergeCell ref="AG1:AI1"/>
    <mergeCell ref="AG33:AH33"/>
    <mergeCell ref="M5:U5"/>
    <mergeCell ref="AB34:AF34"/>
    <mergeCell ref="AB28:AF28"/>
    <mergeCell ref="AB37:AF37"/>
    <mergeCell ref="AC1:AF1"/>
    <mergeCell ref="E2:N2"/>
    <mergeCell ref="AG35:AH35"/>
    <mergeCell ref="Y35:AA35"/>
    <mergeCell ref="I5:L5"/>
    <mergeCell ref="AB30:AF30"/>
    <mergeCell ref="N21:AH21"/>
    <mergeCell ref="AG34:AH34"/>
    <mergeCell ref="D25:J25"/>
    <mergeCell ref="AB29:AF29"/>
    <mergeCell ref="B14:AH14"/>
    <mergeCell ref="Q15:AH15"/>
    <mergeCell ref="AG3:AI3"/>
    <mergeCell ref="A1:D1"/>
    <mergeCell ref="J16:K16"/>
    <mergeCell ref="AC3:AF3"/>
    <mergeCell ref="AB38:AF38"/>
    <mergeCell ref="L17:N17"/>
    <mergeCell ref="E1:N1"/>
    <mergeCell ref="Y38:AA38"/>
    <mergeCell ref="Q16:AH16"/>
    <mergeCell ref="P25:R25"/>
    <mergeCell ref="B15:I15"/>
    <mergeCell ref="N20:AH20"/>
    <mergeCell ref="Q18:AH18"/>
    <mergeCell ref="AB33:AF33"/>
    <mergeCell ref="N22:AH22"/>
    <mergeCell ref="B16:I16"/>
    <mergeCell ref="K24:O24"/>
    <mergeCell ref="AA1:AB1"/>
    <mergeCell ref="O18:P18"/>
    <mergeCell ref="B5:E5"/>
    <mergeCell ref="Y34:AA34"/>
    <mergeCell ref="B18:I18"/>
    <mergeCell ref="J15:K15"/>
    <mergeCell ref="Y27:AA27"/>
    <mergeCell ref="E3:N3"/>
    <mergeCell ref="AG36:AH36"/>
    <mergeCell ref="Y36:AA36"/>
    <mergeCell ref="AB31:AF31"/>
    <mergeCell ref="V5:Y5"/>
    <mergeCell ref="Y33:AA33"/>
    <mergeCell ref="P24:R24"/>
    <mergeCell ref="AB39:AF39"/>
    <mergeCell ref="X24:AH24"/>
    <mergeCell ref="B6:AH6"/>
    <mergeCell ref="AG28:AH28"/>
    <mergeCell ref="AG37:AH37"/>
    <mergeCell ref="AA3:AB3"/>
    <mergeCell ref="L16:N16"/>
    <mergeCell ref="AG30:AH30"/>
    <mergeCell ref="AG39:AH39"/>
    <mergeCell ref="B20:I20"/>
    <mergeCell ref="A3:D3"/>
    <mergeCell ref="J18:K18"/>
    <mergeCell ref="X25:AH25"/>
    <mergeCell ref="J17:K17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</worksheet>
</file>

<file path=xl/worksheets/sheet6.xml><?xml version="1.0" encoding="utf-8"?>
<worksheet xmlns="http://schemas.openxmlformats.org/spreadsheetml/2006/main">
  <sheetPr codeName="Sheet4">
    <outlinePr summaryBelow="1" summaryRight="1"/>
    <pageSetUpPr fitToPage="1"/>
  </sheetPr>
  <dimension ref="A1:AL41"/>
  <sheetViews>
    <sheetView workbookViewId="0">
      <selection activeCell="A1" sqref="A1"/>
    </sheetView>
  </sheetViews>
  <sheetFormatPr baseColWidth="8" defaultColWidth="4.83203125" defaultRowHeight="11.25"/>
  <cols>
    <col width="4.83203125" customWidth="1" style="45" min="1" max="16384"/>
  </cols>
  <sheetData>
    <row r="1" ht="12" customFormat="1" customHeight="1" s="13">
      <c r="A1" s="251" t="inlineStr">
        <is>
          <t>PJ名</t>
        </is>
      </c>
      <c r="B1" s="225" t="n"/>
      <c r="C1" s="225" t="n"/>
      <c r="D1" s="226" t="n"/>
      <c r="E1" s="227">
        <f>IF(INDIRECT("変更履歴!E1")&lt;&gt;"",INDIRECT("変更履歴!E1"),"")</f>
        <v/>
      </c>
      <c r="F1" s="225" t="n"/>
      <c r="G1" s="225" t="n"/>
      <c r="H1" s="225" t="n"/>
      <c r="I1" s="225" t="n"/>
      <c r="J1" s="225" t="n"/>
      <c r="K1" s="225" t="n"/>
      <c r="L1" s="225" t="n"/>
      <c r="M1" s="225" t="n"/>
      <c r="N1" s="226" t="n"/>
      <c r="O1" s="253" t="inlineStr">
        <is>
          <t>成果物名</t>
        </is>
      </c>
      <c r="P1" s="229" t="n"/>
      <c r="Q1" s="229" t="n"/>
      <c r="R1" s="230" t="n"/>
      <c r="S1" s="254">
        <f>IF(INDIRECT("変更履歴!S1")&lt;&gt;"",INDIRECT("変更履歴!S1"),"")</f>
        <v/>
      </c>
      <c r="T1" s="229" t="n"/>
      <c r="U1" s="229" t="n"/>
      <c r="V1" s="229" t="n"/>
      <c r="W1" s="229" t="n"/>
      <c r="X1" s="229" t="n"/>
      <c r="Y1" s="229" t="n"/>
      <c r="Z1" s="230" t="n"/>
      <c r="AA1" s="251" t="inlineStr">
        <is>
          <t>作成</t>
        </is>
      </c>
      <c r="AB1" s="226" t="n"/>
      <c r="AC1" s="232">
        <f>IF(INDIRECT("変更履歴!AC1")&lt;&gt;"",INDIRECT("変更履歴!AC1"),"")</f>
        <v/>
      </c>
      <c r="AD1" s="225" t="n"/>
      <c r="AE1" s="225" t="n"/>
      <c r="AF1" s="226" t="n"/>
      <c r="AG1" s="252">
        <f>IF(INDIRECT("変更履歴!AG1")&lt;&gt;"",INDIRECT("変更履歴!AG1"),"")</f>
        <v/>
      </c>
      <c r="AH1" s="225" t="n"/>
      <c r="AI1" s="226" t="n"/>
      <c r="AJ1" s="9" t="n"/>
      <c r="AK1" s="10" t="n"/>
    </row>
    <row r="2" ht="12" customFormat="1" customHeight="1" s="13">
      <c r="A2" s="251" t="inlineStr">
        <is>
          <t>システム名</t>
        </is>
      </c>
      <c r="B2" s="225" t="n"/>
      <c r="C2" s="225" t="n"/>
      <c r="D2" s="226" t="n"/>
      <c r="E2" s="227">
        <f>IF(INDIRECT("変更履歴!E2")&lt;&gt;"",INDIRECT("変更履歴!E2"),"")</f>
        <v/>
      </c>
      <c r="F2" s="225" t="n"/>
      <c r="G2" s="225" t="n"/>
      <c r="H2" s="225" t="n"/>
      <c r="I2" s="225" t="n"/>
      <c r="J2" s="225" t="n"/>
      <c r="K2" s="225" t="n"/>
      <c r="L2" s="225" t="n"/>
      <c r="M2" s="225" t="n"/>
      <c r="N2" s="226" t="n"/>
      <c r="O2" s="234" t="n"/>
      <c r="R2" s="235" t="n"/>
      <c r="S2" s="234" t="n"/>
      <c r="Z2" s="235" t="n"/>
      <c r="AA2" s="251" t="inlineStr">
        <is>
          <t>変更</t>
        </is>
      </c>
      <c r="AB2" s="226" t="n"/>
      <c r="AC2" s="232">
        <f>IF(INDIRECT("変更履歴!AC2")&lt;&gt;"",INDIRECT("変更履歴!AC2"),"")</f>
        <v/>
      </c>
      <c r="AD2" s="225" t="n"/>
      <c r="AE2" s="225" t="n"/>
      <c r="AF2" s="226" t="n"/>
      <c r="AG2" s="252">
        <f>IF(INDIRECT("変更履歴!AG2")&lt;&gt;"",INDIRECT("変更履歴!AG2"),"")</f>
        <v/>
      </c>
      <c r="AH2" s="225" t="n"/>
      <c r="AI2" s="226" t="n"/>
      <c r="AJ2" s="9" t="n"/>
      <c r="AK2" s="9" t="n"/>
    </row>
    <row r="3" ht="12" customFormat="1" customHeight="1" s="13">
      <c r="A3" s="251" t="inlineStr">
        <is>
          <t>サブシステム名</t>
        </is>
      </c>
      <c r="B3" s="225" t="n"/>
      <c r="C3" s="225" t="n"/>
      <c r="D3" s="226" t="n"/>
      <c r="E3" s="227">
        <f>IF(INDIRECT("変更履歴!E3")&lt;&gt;"",INDIRECT("変更履歴!E3"),"")</f>
        <v/>
      </c>
      <c r="F3" s="225" t="n"/>
      <c r="G3" s="225" t="n"/>
      <c r="H3" s="225" t="n"/>
      <c r="I3" s="225" t="n"/>
      <c r="J3" s="225" t="n"/>
      <c r="K3" s="225" t="n"/>
      <c r="L3" s="225" t="n"/>
      <c r="M3" s="225" t="n"/>
      <c r="N3" s="226" t="n"/>
      <c r="O3" s="236" t="n"/>
      <c r="P3" s="237" t="n"/>
      <c r="Q3" s="237" t="n"/>
      <c r="R3" s="238" t="n"/>
      <c r="S3" s="236" t="n"/>
      <c r="T3" s="237" t="n"/>
      <c r="U3" s="237" t="n"/>
      <c r="V3" s="237" t="n"/>
      <c r="W3" s="237" t="n"/>
      <c r="X3" s="237" t="n"/>
      <c r="Y3" s="237" t="n"/>
      <c r="Z3" s="238" t="n"/>
      <c r="AA3" s="251" t="n"/>
      <c r="AB3" s="226" t="n"/>
      <c r="AC3" s="232">
        <f>IF(INDIRECT("変更履歴!AC3")&lt;&gt;"",INDIRECT("変更履歴!AC3"),"")</f>
        <v/>
      </c>
      <c r="AD3" s="225" t="n"/>
      <c r="AE3" s="225" t="n"/>
      <c r="AF3" s="226" t="n"/>
      <c r="AG3" s="252">
        <f>IF(INDIRECT("変更履歴!AG3")&lt;&gt;"",INDIRECT("変更履歴!AG3"),"")</f>
        <v/>
      </c>
      <c r="AH3" s="225" t="n"/>
      <c r="AI3" s="226" t="n"/>
      <c r="AJ3" s="9" t="n"/>
      <c r="AK3" s="9" t="n"/>
    </row>
    <row r="4" ht="12" customHeight="1"/>
    <row r="5" ht="12" customFormat="1" customHeight="1" s="54">
      <c r="B5" s="89" t="inlineStr">
        <is>
          <t>コンポーネントID</t>
        </is>
      </c>
      <c r="C5" s="225" t="n"/>
      <c r="D5" s="225" t="n"/>
      <c r="E5" s="226" t="n"/>
      <c r="F5" s="206" t="inlineStr">
        <is>
          <t>CC0003</t>
        </is>
      </c>
      <c r="G5" s="225" t="n"/>
      <c r="H5" s="226" t="n"/>
      <c r="I5" s="89" t="inlineStr">
        <is>
          <t>コンポーネント名</t>
        </is>
      </c>
      <c r="J5" s="225" t="n"/>
      <c r="K5" s="225" t="n"/>
      <c r="L5" s="226" t="n"/>
      <c r="M5" s="206" t="inlineStr">
        <is>
          <t>経理連携データ作成</t>
        </is>
      </c>
      <c r="N5" s="225" t="n"/>
      <c r="O5" s="225" t="n"/>
      <c r="P5" s="225" t="n"/>
      <c r="Q5" s="225" t="n"/>
      <c r="R5" s="225" t="n"/>
      <c r="S5" s="225" t="n"/>
      <c r="T5" s="225" t="n"/>
      <c r="U5" s="226" t="n"/>
      <c r="V5" s="89" t="inlineStr">
        <is>
          <t>処理名</t>
        </is>
      </c>
      <c r="W5" s="225" t="n"/>
      <c r="X5" s="225" t="n"/>
      <c r="Y5" s="226" t="n"/>
      <c r="Z5" s="206" t="inlineStr">
        <is>
          <t>経理連携データ作成</t>
        </is>
      </c>
      <c r="AA5" s="225" t="n"/>
      <c r="AB5" s="225" t="n"/>
      <c r="AC5" s="225" t="n"/>
      <c r="AD5" s="225" t="n"/>
      <c r="AE5" s="225" t="n"/>
      <c r="AF5" s="225" t="n"/>
      <c r="AG5" s="225" t="n"/>
      <c r="AH5" s="226" t="n"/>
      <c r="AI5" s="45" t="n"/>
      <c r="AJ5" s="45" t="n"/>
      <c r="AK5" s="45" t="n"/>
      <c r="AL5" s="45" t="n"/>
    </row>
    <row r="6" ht="12" customFormat="1" customHeight="1" s="54">
      <c r="B6" s="89" t="inlineStr">
        <is>
          <t>処理説明</t>
        </is>
      </c>
      <c r="C6" s="225" t="n"/>
      <c r="D6" s="225" t="n"/>
      <c r="E6" s="225" t="n"/>
      <c r="F6" s="225" t="n"/>
      <c r="G6" s="225" t="n"/>
      <c r="H6" s="225" t="n"/>
      <c r="I6" s="225" t="n"/>
      <c r="J6" s="225" t="n"/>
      <c r="K6" s="225" t="n"/>
      <c r="L6" s="225" t="n"/>
      <c r="M6" s="225" t="n"/>
      <c r="N6" s="225" t="n"/>
      <c r="O6" s="225" t="n"/>
      <c r="P6" s="225" t="n"/>
      <c r="Q6" s="225" t="n"/>
      <c r="R6" s="225" t="n"/>
      <c r="S6" s="225" t="n"/>
      <c r="T6" s="225" t="n"/>
      <c r="U6" s="225" t="n"/>
      <c r="V6" s="225" t="n"/>
      <c r="W6" s="225" t="n"/>
      <c r="X6" s="225" t="n"/>
      <c r="Y6" s="225" t="n"/>
      <c r="Z6" s="225" t="n"/>
      <c r="AA6" s="225" t="n"/>
      <c r="AB6" s="225" t="n"/>
      <c r="AC6" s="225" t="n"/>
      <c r="AD6" s="225" t="n"/>
      <c r="AE6" s="225" t="n"/>
      <c r="AF6" s="225" t="n"/>
      <c r="AG6" s="225" t="n"/>
      <c r="AH6" s="226" t="n"/>
      <c r="AI6" s="45" t="n"/>
      <c r="AJ6" s="45" t="n"/>
      <c r="AK6" s="45" t="n"/>
    </row>
    <row r="7" ht="12" customFormat="1" customHeight="1" s="54">
      <c r="B7" s="250" t="inlineStr">
        <is>
          <t>1.処理概要
　申請IDと精算額を入力として、経理システム連携用の外部インタフェースレコード（IBT01形式）を作成して返却する。
2.注意事項
　本コンポーネントはバッチ取引 BTB01（経理連携ファイル作成）から、最終承認済（appl_status='50'）の申請1件ごとに呼び出す。</t>
        </is>
      </c>
      <c r="C7" s="229" t="n"/>
      <c r="D7" s="229" t="n"/>
      <c r="E7" s="229" t="n"/>
      <c r="F7" s="229" t="n"/>
      <c r="G7" s="229" t="n"/>
      <c r="H7" s="229" t="n"/>
      <c r="I7" s="229" t="n"/>
      <c r="J7" s="229" t="n"/>
      <c r="K7" s="229" t="n"/>
      <c r="L7" s="229" t="n"/>
      <c r="M7" s="229" t="n"/>
      <c r="N7" s="229" t="n"/>
      <c r="O7" s="229" t="n"/>
      <c r="P7" s="229" t="n"/>
      <c r="Q7" s="229" t="n"/>
      <c r="R7" s="229" t="n"/>
      <c r="S7" s="229" t="n"/>
      <c r="T7" s="229" t="n"/>
      <c r="U7" s="229" t="n"/>
      <c r="V7" s="229" t="n"/>
      <c r="W7" s="229" t="n"/>
      <c r="X7" s="229" t="n"/>
      <c r="Y7" s="229" t="n"/>
      <c r="Z7" s="229" t="n"/>
      <c r="AA7" s="229" t="n"/>
      <c r="AB7" s="229" t="n"/>
      <c r="AC7" s="229" t="n"/>
      <c r="AD7" s="229" t="n"/>
      <c r="AE7" s="229" t="n"/>
      <c r="AF7" s="229" t="n"/>
      <c r="AG7" s="229" t="n"/>
      <c r="AH7" s="230" t="n"/>
    </row>
    <row r="8" ht="12" customFormat="1" customHeight="1" s="54">
      <c r="B8" s="234" t="n"/>
      <c r="AH8" s="235" t="n"/>
    </row>
    <row r="9" ht="12" customFormat="1" customHeight="1" s="45">
      <c r="B9" s="234" t="n"/>
      <c r="AH9" s="235" t="n"/>
    </row>
    <row r="10" ht="12" customHeight="1">
      <c r="B10" s="234" t="n"/>
      <c r="AH10" s="235" t="n"/>
    </row>
    <row r="11" ht="12" customHeight="1">
      <c r="B11" s="234" t="n"/>
      <c r="AH11" s="235" t="n"/>
    </row>
    <row r="12" ht="12" customHeight="1">
      <c r="B12" s="236" t="n"/>
      <c r="C12" s="237" t="n"/>
      <c r="D12" s="237" t="n"/>
      <c r="E12" s="237" t="n"/>
      <c r="F12" s="237" t="n"/>
      <c r="G12" s="237" t="n"/>
      <c r="H12" s="237" t="n"/>
      <c r="I12" s="237" t="n"/>
      <c r="J12" s="237" t="n"/>
      <c r="K12" s="237" t="n"/>
      <c r="L12" s="237" t="n"/>
      <c r="M12" s="237" t="n"/>
      <c r="N12" s="237" t="n"/>
      <c r="O12" s="237" t="n"/>
      <c r="P12" s="237" t="n"/>
      <c r="Q12" s="237" t="n"/>
      <c r="R12" s="237" t="n"/>
      <c r="S12" s="237" t="n"/>
      <c r="T12" s="237" t="n"/>
      <c r="U12" s="237" t="n"/>
      <c r="V12" s="237" t="n"/>
      <c r="W12" s="237" t="n"/>
      <c r="X12" s="237" t="n"/>
      <c r="Y12" s="237" t="n"/>
      <c r="Z12" s="237" t="n"/>
      <c r="AA12" s="237" t="n"/>
      <c r="AB12" s="237" t="n"/>
      <c r="AC12" s="237" t="n"/>
      <c r="AD12" s="237" t="n"/>
      <c r="AE12" s="237" t="n"/>
      <c r="AF12" s="237" t="n"/>
      <c r="AG12" s="237" t="n"/>
      <c r="AH12" s="238" t="n"/>
    </row>
    <row r="13" ht="12" customHeight="1">
      <c r="B13" s="89" t="inlineStr">
        <is>
          <t>クラス名</t>
        </is>
      </c>
      <c r="C13" s="225" t="n"/>
      <c r="D13" s="225" t="n"/>
      <c r="E13" s="226" t="n"/>
      <c r="F13" s="206" t="inlineStr">
        <is>
          <t>AccountingLinkFileCreator</t>
        </is>
      </c>
      <c r="G13" s="225" t="n"/>
      <c r="H13" s="225" t="n"/>
      <c r="I13" s="225" t="n"/>
      <c r="J13" s="225" t="n"/>
      <c r="K13" s="225" t="n"/>
      <c r="L13" s="225" t="n"/>
      <c r="M13" s="225" t="n"/>
      <c r="N13" s="225" t="n"/>
      <c r="O13" s="225" t="n"/>
      <c r="P13" s="226" t="n"/>
      <c r="Q13" s="89" t="inlineStr">
        <is>
          <t>メソッド名</t>
        </is>
      </c>
      <c r="R13" s="225" t="n"/>
      <c r="S13" s="225" t="n"/>
      <c r="T13" s="226" t="n"/>
      <c r="U13" s="206" t="inlineStr">
        <is>
          <t>createAccountingData</t>
        </is>
      </c>
      <c r="V13" s="225" t="n"/>
      <c r="W13" s="225" t="n"/>
      <c r="X13" s="225" t="n"/>
      <c r="Y13" s="225" t="n"/>
      <c r="Z13" s="225" t="n"/>
      <c r="AA13" s="225" t="n"/>
      <c r="AB13" s="225" t="n"/>
      <c r="AC13" s="225" t="n"/>
      <c r="AD13" s="225" t="n"/>
      <c r="AE13" s="225" t="n"/>
      <c r="AF13" s="225" t="n"/>
      <c r="AG13" s="225" t="n"/>
      <c r="AH13" s="226" t="n"/>
    </row>
    <row r="14" ht="12" customHeight="1">
      <c r="B14" s="89" t="inlineStr">
        <is>
          <t>入出力パラメータ</t>
        </is>
      </c>
      <c r="C14" s="225" t="n"/>
      <c r="D14" s="225" t="n"/>
      <c r="E14" s="225" t="n"/>
      <c r="F14" s="225" t="n"/>
      <c r="G14" s="225" t="n"/>
      <c r="H14" s="225" t="n"/>
      <c r="I14" s="225" t="n"/>
      <c r="J14" s="225" t="n"/>
      <c r="K14" s="225" t="n"/>
      <c r="L14" s="225" t="n"/>
      <c r="M14" s="225" t="n"/>
      <c r="N14" s="225" t="n"/>
      <c r="O14" s="225" t="n"/>
      <c r="P14" s="225" t="n"/>
      <c r="Q14" s="225" t="n"/>
      <c r="R14" s="225" t="n"/>
      <c r="S14" s="225" t="n"/>
      <c r="T14" s="225" t="n"/>
      <c r="U14" s="225" t="n"/>
      <c r="V14" s="225" t="n"/>
      <c r="W14" s="225" t="n"/>
      <c r="X14" s="225" t="n"/>
      <c r="Y14" s="225" t="n"/>
      <c r="Z14" s="225" t="n"/>
      <c r="AA14" s="225" t="n"/>
      <c r="AB14" s="225" t="n"/>
      <c r="AC14" s="225" t="n"/>
      <c r="AD14" s="225" t="n"/>
      <c r="AE14" s="225" t="n"/>
      <c r="AF14" s="225" t="n"/>
      <c r="AG14" s="225" t="n"/>
      <c r="AH14" s="226" t="n"/>
    </row>
    <row r="15" ht="12" customHeight="1">
      <c r="B15" s="89" t="inlineStr">
        <is>
          <t>項目名</t>
        </is>
      </c>
      <c r="C15" s="225" t="n"/>
      <c r="D15" s="225" t="n"/>
      <c r="E15" s="225" t="n"/>
      <c r="F15" s="225" t="n"/>
      <c r="G15" s="225" t="n"/>
      <c r="H15" s="225" t="n"/>
      <c r="I15" s="226" t="n"/>
      <c r="J15" s="89" t="inlineStr">
        <is>
          <t>I/O</t>
        </is>
      </c>
      <c r="K15" s="226" t="n"/>
      <c r="L15" s="89" t="inlineStr">
        <is>
          <t>型</t>
        </is>
      </c>
      <c r="M15" s="225" t="n"/>
      <c r="N15" s="226" t="n"/>
      <c r="O15" s="89" t="inlineStr">
        <is>
          <t>必須</t>
        </is>
      </c>
      <c r="P15" s="226" t="n"/>
      <c r="Q15" s="89" t="inlineStr">
        <is>
          <t>項目説明</t>
        </is>
      </c>
      <c r="R15" s="225" t="n"/>
      <c r="S15" s="225" t="n"/>
      <c r="T15" s="225" t="n"/>
      <c r="U15" s="225" t="n"/>
      <c r="V15" s="225" t="n"/>
      <c r="W15" s="225" t="n"/>
      <c r="X15" s="225" t="n"/>
      <c r="Y15" s="225" t="n"/>
      <c r="Z15" s="225" t="n"/>
      <c r="AA15" s="225" t="n"/>
      <c r="AB15" s="225" t="n"/>
      <c r="AC15" s="225" t="n"/>
      <c r="AD15" s="225" t="n"/>
      <c r="AE15" s="225" t="n"/>
      <c r="AF15" s="225" t="n"/>
      <c r="AG15" s="225" t="n"/>
      <c r="AH15" s="226" t="n"/>
    </row>
    <row r="16" ht="12" customHeight="1">
      <c r="B16" s="206" t="inlineStr">
        <is>
          <t>申請ID</t>
        </is>
      </c>
      <c r="C16" s="225" t="n"/>
      <c r="D16" s="225" t="n"/>
      <c r="E16" s="225" t="n"/>
      <c r="F16" s="225" t="n"/>
      <c r="G16" s="225" t="n"/>
      <c r="H16" s="225" t="n"/>
      <c r="I16" s="226" t="n"/>
      <c r="J16" s="206" t="inlineStr">
        <is>
          <t>I</t>
        </is>
      </c>
      <c r="K16" s="226" t="n"/>
      <c r="L16" s="206" t="inlineStr">
        <is>
          <t>String</t>
        </is>
      </c>
      <c r="M16" s="225" t="n"/>
      <c r="N16" s="226" t="n"/>
      <c r="O16" s="255" t="inlineStr">
        <is>
          <t>○</t>
        </is>
      </c>
      <c r="P16" s="226" t="n"/>
      <c r="Q16" s="206" t="inlineStr">
        <is>
          <t>対象の出張申請の申請ID（BT_APPLICATION.application_id）</t>
        </is>
      </c>
      <c r="R16" s="225" t="n"/>
      <c r="S16" s="225" t="n"/>
      <c r="T16" s="225" t="n"/>
      <c r="U16" s="225" t="n"/>
      <c r="V16" s="225" t="n"/>
      <c r="W16" s="225" t="n"/>
      <c r="X16" s="225" t="n"/>
      <c r="Y16" s="225" t="n"/>
      <c r="Z16" s="225" t="n"/>
      <c r="AA16" s="225" t="n"/>
      <c r="AB16" s="225" t="n"/>
      <c r="AC16" s="225" t="n"/>
      <c r="AD16" s="225" t="n"/>
      <c r="AE16" s="225" t="n"/>
      <c r="AF16" s="225" t="n"/>
      <c r="AG16" s="225" t="n"/>
      <c r="AH16" s="226" t="n"/>
    </row>
    <row r="17" ht="12" customHeight="1">
      <c r="B17" s="206" t="inlineStr">
        <is>
          <t>精算額</t>
        </is>
      </c>
      <c r="C17" s="225" t="n"/>
      <c r="D17" s="225" t="n"/>
      <c r="E17" s="225" t="n"/>
      <c r="F17" s="225" t="n"/>
      <c r="G17" s="225" t="n"/>
      <c r="H17" s="225" t="n"/>
      <c r="I17" s="226" t="n"/>
      <c r="J17" s="206" t="inlineStr">
        <is>
          <t>I</t>
        </is>
      </c>
      <c r="K17" s="226" t="n"/>
      <c r="L17" s="206" t="inlineStr">
        <is>
          <t>Integer</t>
        </is>
      </c>
      <c r="M17" s="225" t="n"/>
      <c r="N17" s="226" t="n"/>
      <c r="O17" s="255" t="inlineStr">
        <is>
          <t>○</t>
        </is>
      </c>
      <c r="P17" s="226" t="n"/>
      <c r="Q17" s="206" t="inlineStr">
        <is>
          <t>【CC0002：精算額計算】で算出した精算額（円）</t>
        </is>
      </c>
      <c r="R17" s="225" t="n"/>
      <c r="S17" s="225" t="n"/>
      <c r="T17" s="225" t="n"/>
      <c r="U17" s="225" t="n"/>
      <c r="V17" s="225" t="n"/>
      <c r="W17" s="225" t="n"/>
      <c r="X17" s="225" t="n"/>
      <c r="Y17" s="225" t="n"/>
      <c r="Z17" s="225" t="n"/>
      <c r="AA17" s="225" t="n"/>
      <c r="AB17" s="225" t="n"/>
      <c r="AC17" s="225" t="n"/>
      <c r="AD17" s="225" t="n"/>
      <c r="AE17" s="225" t="n"/>
      <c r="AF17" s="225" t="n"/>
      <c r="AG17" s="225" t="n"/>
      <c r="AH17" s="226" t="n"/>
    </row>
    <row r="18" ht="12" customHeight="1">
      <c r="B18" s="206" t="inlineStr">
        <is>
          <t>経理I/Fレコード</t>
        </is>
      </c>
      <c r="C18" s="225" t="n"/>
      <c r="D18" s="225" t="n"/>
      <c r="E18" s="225" t="n"/>
      <c r="F18" s="225" t="n"/>
      <c r="G18" s="225" t="n"/>
      <c r="H18" s="225" t="n"/>
      <c r="I18" s="226" t="n"/>
      <c r="J18" s="206" t="inlineStr">
        <is>
          <t>O</t>
        </is>
      </c>
      <c r="K18" s="226" t="n"/>
      <c r="L18" s="206" t="inlineStr">
        <is>
          <t>String</t>
        </is>
      </c>
      <c r="M18" s="225" t="n"/>
      <c r="N18" s="226" t="n"/>
      <c r="O18" s="255" t="inlineStr">
        <is>
          <t>-</t>
        </is>
      </c>
      <c r="P18" s="226" t="n"/>
      <c r="Q18" s="206" t="inlineStr">
        <is>
          <t>経理システム連携ファイル（IBT01）の1レコード</t>
        </is>
      </c>
      <c r="R18" s="225" t="n"/>
      <c r="S18" s="225" t="n"/>
      <c r="T18" s="225" t="n"/>
      <c r="U18" s="225" t="n"/>
      <c r="V18" s="225" t="n"/>
      <c r="W18" s="225" t="n"/>
      <c r="X18" s="225" t="n"/>
      <c r="Y18" s="225" t="n"/>
      <c r="Z18" s="225" t="n"/>
      <c r="AA18" s="225" t="n"/>
      <c r="AB18" s="225" t="n"/>
      <c r="AC18" s="225" t="n"/>
      <c r="AD18" s="225" t="n"/>
      <c r="AE18" s="225" t="n"/>
      <c r="AF18" s="225" t="n"/>
      <c r="AG18" s="225" t="n"/>
      <c r="AH18" s="226" t="n"/>
    </row>
    <row r="19" ht="12" customHeight="1">
      <c r="B19" s="89" t="inlineStr">
        <is>
          <t>CRUD一覧</t>
        </is>
      </c>
      <c r="C19" s="225" t="n"/>
      <c r="D19" s="225" t="n"/>
      <c r="E19" s="225" t="n"/>
      <c r="F19" s="225" t="n"/>
      <c r="G19" s="225" t="n"/>
      <c r="H19" s="225" t="n"/>
      <c r="I19" s="225" t="n"/>
      <c r="J19" s="225" t="n"/>
      <c r="K19" s="225" t="n"/>
      <c r="L19" s="225" t="n"/>
      <c r="M19" s="225" t="n"/>
      <c r="N19" s="225" t="n"/>
      <c r="O19" s="225" t="n"/>
      <c r="P19" s="225" t="n"/>
      <c r="Q19" s="225" t="n"/>
      <c r="R19" s="225" t="n"/>
      <c r="S19" s="225" t="n"/>
      <c r="T19" s="225" t="n"/>
      <c r="U19" s="225" t="n"/>
      <c r="V19" s="225" t="n"/>
      <c r="W19" s="225" t="n"/>
      <c r="X19" s="225" t="n"/>
      <c r="Y19" s="225" t="n"/>
      <c r="Z19" s="225" t="n"/>
      <c r="AA19" s="225" t="n"/>
      <c r="AB19" s="225" t="n"/>
      <c r="AC19" s="225" t="n"/>
      <c r="AD19" s="225" t="n"/>
      <c r="AE19" s="225" t="n"/>
      <c r="AF19" s="225" t="n"/>
      <c r="AG19" s="225" t="n"/>
      <c r="AH19" s="226" t="n"/>
    </row>
    <row r="20" ht="12" customHeight="1">
      <c r="B20" s="89" t="inlineStr">
        <is>
          <t>テーブル名</t>
        </is>
      </c>
      <c r="C20" s="225" t="n"/>
      <c r="D20" s="225" t="n"/>
      <c r="E20" s="225" t="n"/>
      <c r="F20" s="225" t="n"/>
      <c r="G20" s="225" t="n"/>
      <c r="H20" s="225" t="n"/>
      <c r="I20" s="226" t="n"/>
      <c r="J20" s="89" t="inlineStr">
        <is>
          <t>C</t>
        </is>
      </c>
      <c r="K20" s="89" t="inlineStr">
        <is>
          <t>R</t>
        </is>
      </c>
      <c r="L20" s="89" t="inlineStr">
        <is>
          <t>U</t>
        </is>
      </c>
      <c r="M20" s="89" t="inlineStr">
        <is>
          <t>D</t>
        </is>
      </c>
      <c r="N20" s="89" t="inlineStr">
        <is>
          <t>備考</t>
        </is>
      </c>
      <c r="O20" s="225" t="n"/>
      <c r="P20" s="225" t="n"/>
      <c r="Q20" s="225" t="n"/>
      <c r="R20" s="225" t="n"/>
      <c r="S20" s="225" t="n"/>
      <c r="T20" s="225" t="n"/>
      <c r="U20" s="225" t="n"/>
      <c r="V20" s="225" t="n"/>
      <c r="W20" s="225" t="n"/>
      <c r="X20" s="225" t="n"/>
      <c r="Y20" s="225" t="n"/>
      <c r="Z20" s="225" t="n"/>
      <c r="AA20" s="225" t="n"/>
      <c r="AB20" s="225" t="n"/>
      <c r="AC20" s="225" t="n"/>
      <c r="AD20" s="225" t="n"/>
      <c r="AE20" s="225" t="n"/>
      <c r="AF20" s="225" t="n"/>
      <c r="AG20" s="225" t="n"/>
      <c r="AH20" s="226" t="n"/>
    </row>
    <row r="21" ht="12" customHeight="1">
      <c r="B21" s="206" t="inlineStr">
        <is>
          <t>BT_APPLICATION</t>
        </is>
      </c>
      <c r="C21" s="225" t="n"/>
      <c r="D21" s="225" t="n"/>
      <c r="E21" s="225" t="n"/>
      <c r="F21" s="225" t="n"/>
      <c r="G21" s="225" t="n"/>
      <c r="H21" s="225" t="n"/>
      <c r="I21" s="226" t="n"/>
      <c r="J21" s="207" t="inlineStr">
        <is>
          <t>-</t>
        </is>
      </c>
      <c r="K21" s="207" t="inlineStr">
        <is>
          <t>○</t>
        </is>
      </c>
      <c r="L21" s="207" t="inlineStr">
        <is>
          <t>-</t>
        </is>
      </c>
      <c r="M21" s="207" t="inlineStr">
        <is>
          <t>-</t>
        </is>
      </c>
      <c r="N21" s="206" t="inlineStr">
        <is>
          <t>申請者・出張目的・出張期間・最終承認日時を取得する</t>
        </is>
      </c>
      <c r="O21" s="225" t="n"/>
      <c r="P21" s="225" t="n"/>
      <c r="Q21" s="225" t="n"/>
      <c r="R21" s="225" t="n"/>
      <c r="S21" s="225" t="n"/>
      <c r="T21" s="225" t="n"/>
      <c r="U21" s="225" t="n"/>
      <c r="V21" s="225" t="n"/>
      <c r="W21" s="225" t="n"/>
      <c r="X21" s="225" t="n"/>
      <c r="Y21" s="225" t="n"/>
      <c r="Z21" s="225" t="n"/>
      <c r="AA21" s="225" t="n"/>
      <c r="AB21" s="225" t="n"/>
      <c r="AC21" s="225" t="n"/>
      <c r="AD21" s="225" t="n"/>
      <c r="AE21" s="225" t="n"/>
      <c r="AF21" s="225" t="n"/>
      <c r="AG21" s="225" t="n"/>
      <c r="AH21" s="226" t="n"/>
    </row>
    <row r="22" ht="12" customHeight="1">
      <c r="B22" s="206" t="inlineStr">
        <is>
          <t>BT_ACTUAL_COST</t>
        </is>
      </c>
      <c r="C22" s="225" t="n"/>
      <c r="D22" s="225" t="n"/>
      <c r="E22" s="225" t="n"/>
      <c r="F22" s="225" t="n"/>
      <c r="G22" s="225" t="n"/>
      <c r="H22" s="225" t="n"/>
      <c r="I22" s="226" t="n"/>
      <c r="J22" s="207" t="inlineStr">
        <is>
          <t>-</t>
        </is>
      </c>
      <c r="K22" s="207" t="inlineStr">
        <is>
          <t>○</t>
        </is>
      </c>
      <c r="L22" s="207" t="inlineStr">
        <is>
          <t>-</t>
        </is>
      </c>
      <c r="M22" s="207" t="inlineStr">
        <is>
          <t>-</t>
        </is>
      </c>
      <c r="N22" s="206" t="inlineStr">
        <is>
          <t>出張実績費用明細を取得する</t>
        </is>
      </c>
      <c r="O22" s="225" t="n"/>
      <c r="P22" s="225" t="n"/>
      <c r="Q22" s="225" t="n"/>
      <c r="R22" s="225" t="n"/>
      <c r="S22" s="225" t="n"/>
      <c r="T22" s="225" t="n"/>
      <c r="U22" s="225" t="n"/>
      <c r="V22" s="225" t="n"/>
      <c r="W22" s="225" t="n"/>
      <c r="X22" s="225" t="n"/>
      <c r="Y22" s="225" t="n"/>
      <c r="Z22" s="225" t="n"/>
      <c r="AA22" s="225" t="n"/>
      <c r="AB22" s="225" t="n"/>
      <c r="AC22" s="225" t="n"/>
      <c r="AD22" s="225" t="n"/>
      <c r="AE22" s="225" t="n"/>
      <c r="AF22" s="225" t="n"/>
      <c r="AG22" s="225" t="n"/>
      <c r="AH22" s="226" t="n"/>
    </row>
    <row r="23" ht="12" customHeight="1">
      <c r="B23" s="89" t="inlineStr">
        <is>
          <t>エラー情報</t>
        </is>
      </c>
      <c r="C23" s="225" t="n"/>
      <c r="D23" s="225" t="n"/>
      <c r="E23" s="225" t="n"/>
      <c r="F23" s="225" t="n"/>
      <c r="G23" s="225" t="n"/>
      <c r="H23" s="225" t="n"/>
      <c r="I23" s="225" t="n"/>
      <c r="J23" s="225" t="n"/>
      <c r="K23" s="225" t="n"/>
      <c r="L23" s="225" t="n"/>
      <c r="M23" s="225" t="n"/>
      <c r="N23" s="225" t="n"/>
      <c r="O23" s="225" t="n"/>
      <c r="P23" s="225" t="n"/>
      <c r="Q23" s="225" t="n"/>
      <c r="R23" s="225" t="n"/>
      <c r="S23" s="225" t="n"/>
      <c r="T23" s="225" t="n"/>
      <c r="U23" s="225" t="n"/>
      <c r="V23" s="225" t="n"/>
      <c r="W23" s="225" t="n"/>
      <c r="X23" s="225" t="n"/>
      <c r="Y23" s="225" t="n"/>
      <c r="Z23" s="225" t="n"/>
      <c r="AA23" s="225" t="n"/>
      <c r="AB23" s="225" t="n"/>
      <c r="AC23" s="225" t="n"/>
      <c r="AD23" s="225" t="n"/>
      <c r="AE23" s="225" t="n"/>
      <c r="AF23" s="225" t="n"/>
      <c r="AG23" s="225" t="n"/>
      <c r="AH23" s="226" t="n"/>
    </row>
    <row r="24" ht="24" customHeight="1">
      <c r="B24" s="256" t="inlineStr">
        <is>
          <t>エラー
番号</t>
        </is>
      </c>
      <c r="C24" s="226" t="n"/>
      <c r="D24" s="89" t="inlineStr">
        <is>
          <t>エラー名</t>
        </is>
      </c>
      <c r="E24" s="225" t="n"/>
      <c r="F24" s="225" t="n"/>
      <c r="G24" s="225" t="n"/>
      <c r="H24" s="225" t="n"/>
      <c r="I24" s="225" t="n"/>
      <c r="J24" s="226" t="n"/>
      <c r="K24" s="89" t="inlineStr">
        <is>
          <t>エラー種別</t>
        </is>
      </c>
      <c r="L24" s="225" t="n"/>
      <c r="M24" s="225" t="n"/>
      <c r="N24" s="225" t="n"/>
      <c r="O24" s="226" t="n"/>
      <c r="P24" s="89" t="inlineStr">
        <is>
          <t>メッセージID</t>
        </is>
      </c>
      <c r="Q24" s="225" t="n"/>
      <c r="R24" s="226" t="n"/>
      <c r="S24" s="89" t="inlineStr">
        <is>
          <t>埋め込み文字列</t>
        </is>
      </c>
      <c r="T24" s="225" t="n"/>
      <c r="U24" s="225" t="n"/>
      <c r="V24" s="225" t="n"/>
      <c r="W24" s="226" t="n"/>
      <c r="X24" s="89" t="inlineStr">
        <is>
          <t>エラー概要</t>
        </is>
      </c>
      <c r="Y24" s="225" t="n"/>
      <c r="Z24" s="225" t="n"/>
      <c r="AA24" s="225" t="n"/>
      <c r="AB24" s="225" t="n"/>
      <c r="AC24" s="225" t="n"/>
      <c r="AD24" s="225" t="n"/>
      <c r="AE24" s="225" t="n"/>
      <c r="AF24" s="225" t="n"/>
      <c r="AG24" s="225" t="n"/>
      <c r="AH24" s="226" t="n"/>
    </row>
    <row r="25">
      <c r="B25" s="257" t="n">
        <v>1</v>
      </c>
      <c r="C25" s="226" t="n"/>
      <c r="D25" s="250" t="inlineStr">
        <is>
          <t>対象データ不存在</t>
        </is>
      </c>
      <c r="E25" s="225" t="n"/>
      <c r="F25" s="225" t="n"/>
      <c r="G25" s="225" t="n"/>
      <c r="H25" s="225" t="n"/>
      <c r="I25" s="225" t="n"/>
      <c r="J25" s="226" t="n"/>
      <c r="K25" s="250" t="inlineStr">
        <is>
          <t>ApplicationException</t>
        </is>
      </c>
      <c r="L25" s="225" t="n"/>
      <c r="M25" s="225" t="n"/>
      <c r="N25" s="225" t="n"/>
      <c r="O25" s="226" t="n"/>
      <c r="P25" s="250" t="inlineStr">
        <is>
          <t>MSGE0003</t>
        </is>
      </c>
      <c r="Q25" s="225" t="n"/>
      <c r="R25" s="226" t="n"/>
      <c r="S25" s="250" t="inlineStr">
        <is>
          <t>{0}：申請ID</t>
        </is>
      </c>
      <c r="T25" s="225" t="n"/>
      <c r="U25" s="225" t="n"/>
      <c r="V25" s="225" t="n"/>
      <c r="W25" s="226" t="n"/>
      <c r="X25" s="250" t="inlineStr">
        <is>
          <t>指定した申請IDのBT_APPLICATIONが存在しない場合。</t>
        </is>
      </c>
      <c r="Y25" s="225" t="n"/>
      <c r="Z25" s="225" t="n"/>
      <c r="AA25" s="225" t="n"/>
      <c r="AB25" s="225" t="n"/>
      <c r="AC25" s="225" t="n"/>
      <c r="AD25" s="225" t="n"/>
      <c r="AE25" s="225" t="n"/>
      <c r="AF25" s="225" t="n"/>
      <c r="AG25" s="225" t="n"/>
      <c r="AH25" s="226" t="n"/>
      <c r="AI25" s="22" t="n"/>
    </row>
    <row r="26" ht="12" customHeight="1"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54" t="n"/>
      <c r="AJ26" s="54" t="n"/>
    </row>
    <row r="27" ht="24" customHeight="1">
      <c r="B27" s="258" t="inlineStr">
        <is>
          <t>処理定義</t>
        </is>
      </c>
      <c r="C27" s="225" t="n"/>
      <c r="D27" s="225" t="n"/>
      <c r="E27" s="225" t="n"/>
      <c r="F27" s="225" t="n"/>
      <c r="G27" s="225" t="n"/>
      <c r="H27" s="225" t="n"/>
      <c r="I27" s="225" t="n"/>
      <c r="J27" s="225" t="n"/>
      <c r="K27" s="225" t="n"/>
      <c r="L27" s="225" t="n"/>
      <c r="M27" s="225" t="n"/>
      <c r="N27" s="225" t="n"/>
      <c r="O27" s="225" t="n"/>
      <c r="P27" s="225" t="n"/>
      <c r="Q27" s="225" t="n"/>
      <c r="R27" s="225" t="n"/>
      <c r="S27" s="225" t="n"/>
      <c r="T27" s="225" t="n"/>
      <c r="U27" s="225" t="n"/>
      <c r="V27" s="225" t="n"/>
      <c r="W27" s="225" t="n"/>
      <c r="X27" s="226" t="n"/>
      <c r="Y27" s="258" t="inlineStr">
        <is>
          <t>共通ｺﾝﾎﾟｰﾈﾝﾄID</t>
        </is>
      </c>
      <c r="Z27" s="225" t="n"/>
      <c r="AA27" s="226" t="n"/>
      <c r="AB27" s="258" t="inlineStr">
        <is>
          <t>共通ｺﾝﾎﾟｰﾈﾝﾄ処理名</t>
        </is>
      </c>
      <c r="AC27" s="225" t="n"/>
      <c r="AD27" s="225" t="n"/>
      <c r="AE27" s="225" t="n"/>
      <c r="AF27" s="226" t="n"/>
      <c r="AG27" s="256" t="inlineStr">
        <is>
          <t>エラー
番号</t>
        </is>
      </c>
      <c r="AH27" s="226" t="n"/>
      <c r="AI27" s="45" t="n"/>
      <c r="AJ27" s="45" t="n"/>
      <c r="AK27" s="45" t="n"/>
    </row>
    <row r="28" ht="12" customHeight="1">
      <c r="B28" s="216" t="inlineStr">
        <is>
          <t>1. データ取得処理</t>
        </is>
      </c>
      <c r="C28" s="198" t="n"/>
      <c r="D28" s="198" t="n"/>
      <c r="E28" s="198" t="n"/>
      <c r="F28" s="198" t="n"/>
      <c r="G28" s="198" t="n"/>
      <c r="H28" s="198" t="n"/>
      <c r="I28" s="198" t="n"/>
      <c r="J28" s="198" t="n"/>
      <c r="K28" s="198" t="n"/>
      <c r="L28" s="198" t="n"/>
      <c r="M28" s="198" t="n"/>
      <c r="N28" s="198" t="n"/>
      <c r="O28" s="198" t="n"/>
      <c r="P28" s="198" t="n"/>
      <c r="Q28" s="198" t="n"/>
      <c r="R28" s="198" t="n"/>
      <c r="S28" s="198" t="n"/>
      <c r="T28" s="198" t="n"/>
      <c r="U28" s="198" t="n"/>
      <c r="V28" s="198" t="n"/>
      <c r="W28" s="198" t="n"/>
      <c r="X28" s="199" t="n"/>
      <c r="Y28" s="259" t="n"/>
      <c r="Z28" s="229" t="n"/>
      <c r="AA28" s="230" t="n"/>
      <c r="AB28" s="259" t="n"/>
      <c r="AC28" s="229" t="n"/>
      <c r="AD28" s="229" t="n"/>
      <c r="AE28" s="229" t="n"/>
      <c r="AF28" s="230" t="n"/>
      <c r="AG28" s="260" t="n"/>
      <c r="AH28" s="230" t="n"/>
    </row>
    <row r="29" ht="12" customHeight="1">
      <c r="B29" s="200" t="n"/>
      <c r="C29" s="201" t="inlineStr">
        <is>
          <t xml:space="preserve">　申請IDをキーに BT_APPLICATION を検索し、申請者・出張目的・出張期間・最終承認日時を取得する。</t>
        </is>
      </c>
      <c r="D29" s="201" t="n"/>
      <c r="E29" s="201" t="n"/>
      <c r="F29" s="201" t="n"/>
      <c r="G29" s="201" t="n"/>
      <c r="H29" s="201" t="n"/>
      <c r="I29" s="201" t="n"/>
      <c r="J29" s="201" t="n"/>
      <c r="K29" s="201" t="n"/>
      <c r="L29" s="201" t="n"/>
      <c r="M29" s="201" t="n"/>
      <c r="N29" s="201" t="n"/>
      <c r="O29" s="201" t="n"/>
      <c r="P29" s="201" t="n"/>
      <c r="Q29" s="201" t="n"/>
      <c r="R29" s="201" t="n"/>
      <c r="S29" s="201" t="n"/>
      <c r="T29" s="201" t="n"/>
      <c r="U29" s="201" t="n"/>
      <c r="V29" s="201" t="n"/>
      <c r="W29" s="201" t="n"/>
      <c r="X29" s="202" t="n"/>
      <c r="Y29" s="261" t="n"/>
      <c r="AA29" s="235" t="n"/>
      <c r="AB29" s="261" t="n"/>
      <c r="AF29" s="235" t="n"/>
      <c r="AG29" s="262" t="n"/>
      <c r="AH29" s="235" t="n"/>
    </row>
    <row r="30" ht="12" customHeight="1">
      <c r="B30" s="200" t="n"/>
      <c r="C30" s="201" t="inlineStr">
        <is>
          <t xml:space="preserve">　申請IDをキーに BT_ACTUAL_COST を検索し、出張実績費用明細を取得する。</t>
        </is>
      </c>
      <c r="D30" s="201" t="n"/>
      <c r="E30" s="201" t="n"/>
      <c r="F30" s="201" t="n"/>
      <c r="G30" s="201" t="n"/>
      <c r="H30" s="201" t="n"/>
      <c r="I30" s="201" t="n"/>
      <c r="J30" s="201" t="n"/>
      <c r="K30" s="201" t="n"/>
      <c r="L30" s="201" t="n"/>
      <c r="M30" s="201" t="n"/>
      <c r="N30" s="201" t="n"/>
      <c r="O30" s="201" t="n"/>
      <c r="P30" s="201" t="n"/>
      <c r="Q30" s="201" t="n"/>
      <c r="R30" s="201" t="n"/>
      <c r="S30" s="201" t="n"/>
      <c r="T30" s="201" t="n"/>
      <c r="U30" s="201" t="n"/>
      <c r="V30" s="201" t="n"/>
      <c r="W30" s="201" t="n"/>
      <c r="X30" s="202" t="n"/>
      <c r="Y30" s="261" t="n"/>
      <c r="AA30" s="235" t="n"/>
      <c r="AB30" s="261" t="n"/>
      <c r="AF30" s="235" t="n"/>
      <c r="AG30" s="262" t="n"/>
      <c r="AH30" s="235" t="n"/>
    </row>
    <row r="31" ht="12" customHeight="1">
      <c r="B31" s="200" t="inlineStr">
        <is>
          <t>2. レコード編集処理</t>
        </is>
      </c>
      <c r="C31" s="201" t="n"/>
      <c r="D31" s="201" t="n"/>
      <c r="E31" s="201" t="n"/>
      <c r="F31" s="201" t="n"/>
      <c r="G31" s="201" t="n"/>
      <c r="H31" s="201" t="n"/>
      <c r="I31" s="201" t="n"/>
      <c r="J31" s="201" t="n"/>
      <c r="K31" s="201" t="n"/>
      <c r="L31" s="201" t="n"/>
      <c r="M31" s="201" t="n"/>
      <c r="N31" s="201" t="n"/>
      <c r="O31" s="201" t="n"/>
      <c r="P31" s="201" t="n"/>
      <c r="Q31" s="201" t="n"/>
      <c r="R31" s="201" t="n"/>
      <c r="S31" s="201" t="n"/>
      <c r="T31" s="201" t="n"/>
      <c r="U31" s="201" t="n"/>
      <c r="V31" s="201" t="n"/>
      <c r="W31" s="201" t="n"/>
      <c r="X31" s="202" t="n"/>
      <c r="Y31" s="261" t="n"/>
      <c r="AA31" s="235" t="n"/>
      <c r="AB31" s="261" t="n"/>
      <c r="AF31" s="235" t="n"/>
      <c r="AG31" s="262" t="n"/>
      <c r="AH31" s="235" t="n"/>
    </row>
    <row r="32" ht="12" customHeight="1">
      <c r="B32" s="200" t="n"/>
      <c r="C32" s="201" t="inlineStr">
        <is>
          <t xml:space="preserve">　取得した項目と精算額を、外部インタフェース IBT01（経理システム連携ファイル）のレコード形式に編集する。</t>
        </is>
      </c>
      <c r="D32" s="201" t="n"/>
      <c r="E32" s="201" t="n"/>
      <c r="F32" s="201" t="n"/>
      <c r="G32" s="201" t="n"/>
      <c r="H32" s="201" t="n"/>
      <c r="I32" s="201" t="n"/>
      <c r="J32" s="201" t="n"/>
      <c r="K32" s="201" t="n"/>
      <c r="L32" s="201" t="n"/>
      <c r="M32" s="201" t="n"/>
      <c r="N32" s="201" t="n"/>
      <c r="O32" s="201" t="n"/>
      <c r="P32" s="201" t="n"/>
      <c r="Q32" s="201" t="n"/>
      <c r="R32" s="201" t="n"/>
      <c r="S32" s="201" t="n"/>
      <c r="T32" s="201" t="n"/>
      <c r="U32" s="201" t="n"/>
      <c r="V32" s="201" t="n"/>
      <c r="W32" s="201" t="n"/>
      <c r="X32" s="202" t="n"/>
      <c r="Y32" s="261" t="n"/>
      <c r="AA32" s="235" t="n"/>
      <c r="AB32" s="261" t="n"/>
      <c r="AF32" s="235" t="n"/>
      <c r="AG32" s="262" t="n"/>
      <c r="AH32" s="235" t="n"/>
    </row>
    <row r="33" ht="12" customHeight="1">
      <c r="B33" s="200" t="n"/>
      <c r="C33" s="201" t="n"/>
      <c r="D33" s="201" t="inlineStr">
        <is>
          <t>レコード形式：申請ID ＋ 社員番号 ＋ 精算額 ＋ 最終承認日時（固定長）</t>
        </is>
      </c>
      <c r="E33" s="201" t="n"/>
      <c r="F33" s="201" t="n"/>
      <c r="G33" s="201" t="n"/>
      <c r="H33" s="201" t="n"/>
      <c r="I33" s="201" t="n"/>
      <c r="J33" s="201" t="n"/>
      <c r="K33" s="201" t="n"/>
      <c r="L33" s="201" t="n"/>
      <c r="M33" s="201" t="n"/>
      <c r="N33" s="201" t="n"/>
      <c r="O33" s="201" t="n"/>
      <c r="P33" s="201" t="n"/>
      <c r="Q33" s="201" t="n"/>
      <c r="R33" s="201" t="n"/>
      <c r="S33" s="201" t="n"/>
      <c r="T33" s="201" t="n"/>
      <c r="U33" s="201" t="n"/>
      <c r="V33" s="201" t="n"/>
      <c r="W33" s="201" t="n"/>
      <c r="X33" s="202" t="n"/>
      <c r="Y33" s="261" t="n"/>
      <c r="AA33" s="235" t="n"/>
      <c r="AB33" s="261" t="n"/>
      <c r="AF33" s="235" t="n"/>
      <c r="AG33" s="262" t="n"/>
      <c r="AH33" s="235" t="n"/>
    </row>
    <row r="34" ht="12" customHeight="1">
      <c r="B34" s="200" t="inlineStr">
        <is>
          <t>3. 戻り値返却</t>
        </is>
      </c>
      <c r="C34" s="201" t="n"/>
      <c r="D34" s="201" t="n"/>
      <c r="E34" s="201" t="n"/>
      <c r="F34" s="201" t="n"/>
      <c r="G34" s="201" t="n"/>
      <c r="H34" s="201" t="n"/>
      <c r="I34" s="201" t="n"/>
      <c r="J34" s="201" t="n"/>
      <c r="K34" s="201" t="n"/>
      <c r="L34" s="201" t="n"/>
      <c r="M34" s="201" t="n"/>
      <c r="N34" s="201" t="n"/>
      <c r="O34" s="201" t="n"/>
      <c r="P34" s="201" t="n"/>
      <c r="Q34" s="201" t="n"/>
      <c r="R34" s="201" t="n"/>
      <c r="S34" s="201" t="n"/>
      <c r="T34" s="201" t="n"/>
      <c r="U34" s="201" t="n"/>
      <c r="V34" s="201" t="n"/>
      <c r="W34" s="201" t="n"/>
      <c r="X34" s="202" t="n"/>
      <c r="Y34" s="261" t="n"/>
      <c r="AA34" s="235" t="n"/>
      <c r="AB34" s="261" t="n"/>
      <c r="AF34" s="235" t="n"/>
      <c r="AG34" s="262" t="n"/>
      <c r="AH34" s="235" t="n"/>
    </row>
    <row r="35" ht="12" customHeight="1">
      <c r="B35" s="200" t="n"/>
      <c r="C35" s="201" t="inlineStr">
        <is>
          <t xml:space="preserve">　編集した経理I/Fレコードを呼び元へ返却する。</t>
        </is>
      </c>
      <c r="D35" s="201" t="n"/>
      <c r="E35" s="201" t="n"/>
      <c r="F35" s="201" t="n"/>
      <c r="G35" s="201" t="n"/>
      <c r="H35" s="201" t="n"/>
      <c r="I35" s="201" t="n"/>
      <c r="J35" s="201" t="n"/>
      <c r="K35" s="201" t="n"/>
      <c r="L35" s="201" t="n"/>
      <c r="M35" s="201" t="n"/>
      <c r="N35" s="201" t="n"/>
      <c r="O35" s="201" t="n"/>
      <c r="P35" s="201" t="n"/>
      <c r="Q35" s="201" t="n"/>
      <c r="R35" s="201" t="n"/>
      <c r="S35" s="201" t="n"/>
      <c r="T35" s="201" t="n"/>
      <c r="U35" s="201" t="n"/>
      <c r="V35" s="201" t="n"/>
      <c r="W35" s="201" t="n"/>
      <c r="X35" s="202" t="n"/>
      <c r="Y35" s="261" t="n"/>
      <c r="AA35" s="235" t="n"/>
      <c r="AB35" s="261" t="n"/>
      <c r="AF35" s="235" t="n"/>
      <c r="AG35" s="262" t="n"/>
      <c r="AH35" s="235" t="n"/>
    </row>
    <row r="36" ht="12" customHeight="1">
      <c r="B36" s="200" t="n"/>
      <c r="C36" s="201" t="n"/>
      <c r="D36" s="201" t="n"/>
      <c r="E36" s="201" t="n"/>
      <c r="F36" s="201" t="n"/>
      <c r="G36" s="201" t="n"/>
      <c r="H36" s="201" t="n"/>
      <c r="I36" s="201" t="n"/>
      <c r="J36" s="201" t="n"/>
      <c r="K36" s="201" t="n"/>
      <c r="L36" s="201" t="n"/>
      <c r="M36" s="201" t="n"/>
      <c r="N36" s="201" t="n"/>
      <c r="O36" s="201" t="n"/>
      <c r="P36" s="201" t="n"/>
      <c r="Q36" s="201" t="n"/>
      <c r="R36" s="201" t="n"/>
      <c r="S36" s="201" t="n"/>
      <c r="T36" s="201" t="n"/>
      <c r="U36" s="201" t="n"/>
      <c r="V36" s="201" t="n"/>
      <c r="W36" s="201" t="n"/>
      <c r="X36" s="202" t="n"/>
      <c r="Y36" s="261" t="n"/>
      <c r="AA36" s="235" t="n"/>
      <c r="AB36" s="261" t="n"/>
      <c r="AF36" s="235" t="n"/>
      <c r="AG36" s="262" t="n"/>
      <c r="AH36" s="235" t="n"/>
    </row>
    <row r="37" ht="12" customHeight="1">
      <c r="B37" s="200" t="n"/>
      <c r="C37" s="201" t="n"/>
      <c r="D37" s="201" t="n"/>
      <c r="E37" s="201" t="n"/>
      <c r="F37" s="201" t="n"/>
      <c r="G37" s="201" t="n"/>
      <c r="H37" s="201" t="n"/>
      <c r="I37" s="201" t="n"/>
      <c r="J37" s="201" t="n"/>
      <c r="K37" s="201" t="n"/>
      <c r="L37" s="201" t="n"/>
      <c r="M37" s="201" t="n"/>
      <c r="N37" s="201" t="n"/>
      <c r="O37" s="201" t="n"/>
      <c r="P37" s="201" t="n"/>
      <c r="Q37" s="201" t="n"/>
      <c r="R37" s="201" t="n"/>
      <c r="S37" s="201" t="n"/>
      <c r="T37" s="201" t="n"/>
      <c r="U37" s="201" t="n"/>
      <c r="V37" s="201" t="n"/>
      <c r="W37" s="201" t="n"/>
      <c r="X37" s="202" t="n"/>
      <c r="Y37" s="261" t="n"/>
      <c r="AA37" s="235" t="n"/>
      <c r="AB37" s="261" t="n"/>
      <c r="AF37" s="235" t="n"/>
      <c r="AG37" s="262" t="n"/>
      <c r="AH37" s="235" t="n"/>
    </row>
    <row r="38" ht="12" customHeight="1">
      <c r="B38" s="200" t="n"/>
      <c r="C38" s="201" t="n"/>
      <c r="D38" s="201" t="n"/>
      <c r="E38" s="201" t="n"/>
      <c r="F38" s="201" t="n"/>
      <c r="G38" s="201" t="n"/>
      <c r="H38" s="201" t="n"/>
      <c r="I38" s="201" t="n"/>
      <c r="J38" s="201" t="n"/>
      <c r="K38" s="201" t="n"/>
      <c r="L38" s="201" t="n"/>
      <c r="M38" s="201" t="n"/>
      <c r="N38" s="201" t="n"/>
      <c r="O38" s="201" t="n"/>
      <c r="P38" s="201" t="n"/>
      <c r="Q38" s="201" t="n"/>
      <c r="R38" s="201" t="n"/>
      <c r="S38" s="201" t="n"/>
      <c r="T38" s="201" t="n"/>
      <c r="U38" s="201" t="n"/>
      <c r="V38" s="201" t="n"/>
      <c r="W38" s="201" t="n"/>
      <c r="X38" s="202" t="n"/>
      <c r="Y38" s="261" t="n"/>
      <c r="AA38" s="235" t="n"/>
      <c r="AB38" s="261" t="n"/>
      <c r="AF38" s="235" t="n"/>
      <c r="AG38" s="262" t="n"/>
      <c r="AH38" s="235" t="n"/>
    </row>
    <row r="39" ht="12" customHeight="1">
      <c r="B39" s="200" t="n"/>
      <c r="C39" s="201" t="n"/>
      <c r="D39" s="201" t="n"/>
      <c r="E39" s="201" t="n"/>
      <c r="F39" s="201" t="n"/>
      <c r="G39" s="201" t="n"/>
      <c r="H39" s="201" t="n"/>
      <c r="I39" s="201" t="n"/>
      <c r="J39" s="201" t="n"/>
      <c r="K39" s="201" t="n"/>
      <c r="L39" s="201" t="n"/>
      <c r="M39" s="201" t="n"/>
      <c r="N39" s="201" t="n"/>
      <c r="O39" s="201" t="n"/>
      <c r="P39" s="201" t="n"/>
      <c r="Q39" s="201" t="n"/>
      <c r="R39" s="201" t="n"/>
      <c r="S39" s="201" t="n"/>
      <c r="T39" s="201" t="n"/>
      <c r="U39" s="201" t="n"/>
      <c r="V39" s="201" t="n"/>
      <c r="W39" s="201" t="n"/>
      <c r="X39" s="202" t="n"/>
      <c r="Y39" s="261" t="n"/>
      <c r="AA39" s="235" t="n"/>
      <c r="AB39" s="261" t="n"/>
      <c r="AF39" s="235" t="n"/>
      <c r="AG39" s="262" t="n"/>
      <c r="AH39" s="235" t="n"/>
    </row>
    <row r="40" ht="12" customHeight="1">
      <c r="B40" s="200" t="n"/>
      <c r="C40" s="201" t="n"/>
      <c r="D40" s="201" t="n"/>
      <c r="E40" s="201" t="n"/>
      <c r="F40" s="201" t="n"/>
      <c r="G40" s="201" t="n"/>
      <c r="H40" s="201" t="n"/>
      <c r="I40" s="201" t="n"/>
      <c r="J40" s="201" t="n"/>
      <c r="K40" s="201" t="n"/>
      <c r="L40" s="201" t="n"/>
      <c r="M40" s="201" t="n"/>
      <c r="N40" s="201" t="n"/>
      <c r="O40" s="201" t="n"/>
      <c r="P40" s="201" t="n"/>
      <c r="Q40" s="201" t="n"/>
      <c r="R40" s="201" t="n"/>
      <c r="S40" s="201" t="n"/>
      <c r="T40" s="201" t="n"/>
      <c r="U40" s="201" t="n"/>
      <c r="V40" s="201" t="n"/>
      <c r="W40" s="201" t="n"/>
      <c r="X40" s="202" t="n"/>
      <c r="Y40" s="261" t="n"/>
      <c r="AA40" s="235" t="n"/>
      <c r="AB40" s="261" t="n"/>
      <c r="AF40" s="235" t="n"/>
      <c r="AG40" s="262" t="n"/>
      <c r="AH40" s="235" t="n"/>
    </row>
    <row r="41" ht="12" customHeight="1">
      <c r="B41" s="203" t="n"/>
      <c r="C41" s="204" t="n"/>
      <c r="D41" s="204" t="n"/>
      <c r="E41" s="204" t="n"/>
      <c r="F41" s="204" t="n"/>
      <c r="G41" s="204" t="n"/>
      <c r="H41" s="204" t="n"/>
      <c r="I41" s="204" t="n"/>
      <c r="J41" s="204" t="n"/>
      <c r="K41" s="204" t="n"/>
      <c r="L41" s="204" t="n"/>
      <c r="M41" s="204" t="n"/>
      <c r="N41" s="204" t="n"/>
      <c r="O41" s="204" t="n"/>
      <c r="P41" s="204" t="n"/>
      <c r="Q41" s="204" t="n"/>
      <c r="R41" s="204" t="n"/>
      <c r="S41" s="204" t="n"/>
      <c r="T41" s="204" t="n"/>
      <c r="U41" s="204" t="n"/>
      <c r="V41" s="204" t="n"/>
      <c r="W41" s="204" t="n"/>
      <c r="X41" s="205" t="n"/>
      <c r="Y41" s="263" t="n"/>
      <c r="Z41" s="237" t="n"/>
      <c r="AA41" s="238" t="n"/>
      <c r="AB41" s="263" t="n"/>
      <c r="AC41" s="237" t="n"/>
      <c r="AD41" s="237" t="n"/>
      <c r="AE41" s="237" t="n"/>
      <c r="AF41" s="238" t="n"/>
      <c r="AG41" s="86" t="n"/>
      <c r="AH41" s="238" t="n"/>
    </row>
    <row r="42" ht="12" customHeight="1"/>
    <row r="43" ht="12" customHeight="1"/>
    <row r="44" ht="12" customHeight="1"/>
  </sheetData>
  <mergeCells count="116">
    <mergeCell ref="F5:H5"/>
    <mergeCell ref="S1:Z3"/>
    <mergeCell ref="O15:P15"/>
    <mergeCell ref="D24:J24"/>
    <mergeCell ref="AG41:AH41"/>
    <mergeCell ref="Y40:AA40"/>
    <mergeCell ref="AB41:AF41"/>
    <mergeCell ref="AB35:AF35"/>
    <mergeCell ref="B27:X27"/>
    <mergeCell ref="Q13:T13"/>
    <mergeCell ref="AG27:AH27"/>
    <mergeCell ref="B19:AH19"/>
    <mergeCell ref="AB27:AF27"/>
    <mergeCell ref="B17:I17"/>
    <mergeCell ref="AB36:AF36"/>
    <mergeCell ref="O16:P16"/>
    <mergeCell ref="Q17:AH17"/>
    <mergeCell ref="U13:AH13"/>
    <mergeCell ref="S24:W24"/>
    <mergeCell ref="F13:P13"/>
    <mergeCell ref="B24:C24"/>
    <mergeCell ref="O17:P17"/>
    <mergeCell ref="B13:E13"/>
    <mergeCell ref="AA2:AB2"/>
    <mergeCell ref="O1:R3"/>
    <mergeCell ref="A2:D2"/>
    <mergeCell ref="Y39:AA39"/>
    <mergeCell ref="Y30:AA30"/>
    <mergeCell ref="L15:N15"/>
    <mergeCell ref="AG2:AI2"/>
    <mergeCell ref="S25:W25"/>
    <mergeCell ref="AG29:AH29"/>
    <mergeCell ref="Y29:AA29"/>
    <mergeCell ref="B25:C25"/>
    <mergeCell ref="K25:O25"/>
    <mergeCell ref="AG38:AH38"/>
    <mergeCell ref="L18:N18"/>
    <mergeCell ref="B22:I22"/>
    <mergeCell ref="AC2:AF2"/>
    <mergeCell ref="AG31:AH31"/>
    <mergeCell ref="Y31:AA31"/>
    <mergeCell ref="B23:AH23"/>
    <mergeCell ref="AG40:AH40"/>
    <mergeCell ref="AB32:AF32"/>
    <mergeCell ref="B21:I21"/>
    <mergeCell ref="AB40:AF40"/>
    <mergeCell ref="Y28:AA28"/>
    <mergeCell ref="Y37:AA37"/>
    <mergeCell ref="Z5:AH5"/>
    <mergeCell ref="AG32:AH32"/>
    <mergeCell ref="Y32:AA32"/>
    <mergeCell ref="Y41:AA41"/>
    <mergeCell ref="B7:AH12"/>
    <mergeCell ref="AG1:AI1"/>
    <mergeCell ref="AG33:AH33"/>
    <mergeCell ref="M5:U5"/>
    <mergeCell ref="AB34:AF34"/>
    <mergeCell ref="AB28:AF28"/>
    <mergeCell ref="AB37:AF37"/>
    <mergeCell ref="AC1:AF1"/>
    <mergeCell ref="E2:N2"/>
    <mergeCell ref="AG35:AH35"/>
    <mergeCell ref="Y35:AA35"/>
    <mergeCell ref="I5:L5"/>
    <mergeCell ref="AB30:AF30"/>
    <mergeCell ref="N21:AH21"/>
    <mergeCell ref="AG34:AH34"/>
    <mergeCell ref="D25:J25"/>
    <mergeCell ref="AB29:AF29"/>
    <mergeCell ref="B14:AH14"/>
    <mergeCell ref="Q15:AH15"/>
    <mergeCell ref="AG3:AI3"/>
    <mergeCell ref="A1:D1"/>
    <mergeCell ref="J16:K16"/>
    <mergeCell ref="AC3:AF3"/>
    <mergeCell ref="AB38:AF38"/>
    <mergeCell ref="L17:N17"/>
    <mergeCell ref="E1:N1"/>
    <mergeCell ref="Y38:AA38"/>
    <mergeCell ref="Q16:AH16"/>
    <mergeCell ref="P25:R25"/>
    <mergeCell ref="B15:I15"/>
    <mergeCell ref="N20:AH20"/>
    <mergeCell ref="Q18:AH18"/>
    <mergeCell ref="AB33:AF33"/>
    <mergeCell ref="N22:AH22"/>
    <mergeCell ref="B16:I16"/>
    <mergeCell ref="K24:O24"/>
    <mergeCell ref="AA1:AB1"/>
    <mergeCell ref="O18:P18"/>
    <mergeCell ref="B5:E5"/>
    <mergeCell ref="Y34:AA34"/>
    <mergeCell ref="B18:I18"/>
    <mergeCell ref="J15:K15"/>
    <mergeCell ref="Y27:AA27"/>
    <mergeCell ref="E3:N3"/>
    <mergeCell ref="AG36:AH36"/>
    <mergeCell ref="Y36:AA36"/>
    <mergeCell ref="AB31:AF31"/>
    <mergeCell ref="V5:Y5"/>
    <mergeCell ref="Y33:AA33"/>
    <mergeCell ref="P24:R24"/>
    <mergeCell ref="AB39:AF39"/>
    <mergeCell ref="X24:AH24"/>
    <mergeCell ref="B6:AH6"/>
    <mergeCell ref="AG28:AH28"/>
    <mergeCell ref="AG37:AH37"/>
    <mergeCell ref="AA3:AB3"/>
    <mergeCell ref="L16:N16"/>
    <mergeCell ref="AG30:AH30"/>
    <mergeCell ref="AG39:AH39"/>
    <mergeCell ref="B20:I20"/>
    <mergeCell ref="A3:D3"/>
    <mergeCell ref="J18:K18"/>
    <mergeCell ref="X25:AH25"/>
    <mergeCell ref="J17:K17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</worksheet>
</file>

<file path=xl/worksheets/sheet7.xml><?xml version="1.0" encoding="utf-8"?>
<worksheet xmlns="http://schemas.openxmlformats.org/spreadsheetml/2006/main">
  <sheetPr codeName="Sheet4">
    <outlinePr summaryBelow="1" summaryRight="1"/>
    <pageSetUpPr fitToPage="1"/>
  </sheetPr>
  <dimension ref="A1:AL41"/>
  <sheetViews>
    <sheetView workbookViewId="0">
      <selection activeCell="A1" sqref="A1"/>
    </sheetView>
  </sheetViews>
  <sheetFormatPr baseColWidth="8" defaultColWidth="4.83203125" defaultRowHeight="11.25"/>
  <cols>
    <col width="4.83203125" customWidth="1" style="45" min="1" max="16384"/>
  </cols>
  <sheetData>
    <row r="1" ht="12" customFormat="1" customHeight="1" s="13">
      <c r="A1" s="251" t="inlineStr">
        <is>
          <t>PJ名</t>
        </is>
      </c>
      <c r="B1" s="225" t="n"/>
      <c r="C1" s="225" t="n"/>
      <c r="D1" s="226" t="n"/>
      <c r="E1" s="227">
        <f>IF(INDIRECT("変更履歴!E1")&lt;&gt;"",INDIRECT("変更履歴!E1"),"")</f>
        <v/>
      </c>
      <c r="F1" s="225" t="n"/>
      <c r="G1" s="225" t="n"/>
      <c r="H1" s="225" t="n"/>
      <c r="I1" s="225" t="n"/>
      <c r="J1" s="225" t="n"/>
      <c r="K1" s="225" t="n"/>
      <c r="L1" s="225" t="n"/>
      <c r="M1" s="225" t="n"/>
      <c r="N1" s="226" t="n"/>
      <c r="O1" s="253" t="inlineStr">
        <is>
          <t>成果物名</t>
        </is>
      </c>
      <c r="P1" s="229" t="n"/>
      <c r="Q1" s="229" t="n"/>
      <c r="R1" s="230" t="n"/>
      <c r="S1" s="254">
        <f>IF(INDIRECT("変更履歴!S1")&lt;&gt;"",INDIRECT("変更履歴!S1"),"")</f>
        <v/>
      </c>
      <c r="T1" s="229" t="n"/>
      <c r="U1" s="229" t="n"/>
      <c r="V1" s="229" t="n"/>
      <c r="W1" s="229" t="n"/>
      <c r="X1" s="229" t="n"/>
      <c r="Y1" s="229" t="n"/>
      <c r="Z1" s="230" t="n"/>
      <c r="AA1" s="251" t="inlineStr">
        <is>
          <t>作成</t>
        </is>
      </c>
      <c r="AB1" s="226" t="n"/>
      <c r="AC1" s="232">
        <f>IF(INDIRECT("変更履歴!AC1")&lt;&gt;"",INDIRECT("変更履歴!AC1"),"")</f>
        <v/>
      </c>
      <c r="AD1" s="225" t="n"/>
      <c r="AE1" s="225" t="n"/>
      <c r="AF1" s="226" t="n"/>
      <c r="AG1" s="252">
        <f>IF(INDIRECT("変更履歴!AG1")&lt;&gt;"",INDIRECT("変更履歴!AG1"),"")</f>
        <v/>
      </c>
      <c r="AH1" s="225" t="n"/>
      <c r="AI1" s="226" t="n"/>
      <c r="AJ1" s="9" t="n"/>
      <c r="AK1" s="10" t="n"/>
    </row>
    <row r="2" ht="12" customFormat="1" customHeight="1" s="13">
      <c r="A2" s="251" t="inlineStr">
        <is>
          <t>システム名</t>
        </is>
      </c>
      <c r="B2" s="225" t="n"/>
      <c r="C2" s="225" t="n"/>
      <c r="D2" s="226" t="n"/>
      <c r="E2" s="227">
        <f>IF(INDIRECT("変更履歴!E2")&lt;&gt;"",INDIRECT("変更履歴!E2"),"")</f>
        <v/>
      </c>
      <c r="F2" s="225" t="n"/>
      <c r="G2" s="225" t="n"/>
      <c r="H2" s="225" t="n"/>
      <c r="I2" s="225" t="n"/>
      <c r="J2" s="225" t="n"/>
      <c r="K2" s="225" t="n"/>
      <c r="L2" s="225" t="n"/>
      <c r="M2" s="225" t="n"/>
      <c r="N2" s="226" t="n"/>
      <c r="O2" s="234" t="n"/>
      <c r="R2" s="235" t="n"/>
      <c r="S2" s="234" t="n"/>
      <c r="Z2" s="235" t="n"/>
      <c r="AA2" s="251" t="inlineStr">
        <is>
          <t>変更</t>
        </is>
      </c>
      <c r="AB2" s="226" t="n"/>
      <c r="AC2" s="232">
        <f>IF(INDIRECT("変更履歴!AC2")&lt;&gt;"",INDIRECT("変更履歴!AC2"),"")</f>
        <v/>
      </c>
      <c r="AD2" s="225" t="n"/>
      <c r="AE2" s="225" t="n"/>
      <c r="AF2" s="226" t="n"/>
      <c r="AG2" s="252">
        <f>IF(INDIRECT("変更履歴!AG2")&lt;&gt;"",INDIRECT("変更履歴!AG2"),"")</f>
        <v/>
      </c>
      <c r="AH2" s="225" t="n"/>
      <c r="AI2" s="226" t="n"/>
      <c r="AJ2" s="9" t="n"/>
      <c r="AK2" s="9" t="n"/>
    </row>
    <row r="3" ht="12" customFormat="1" customHeight="1" s="13">
      <c r="A3" s="251" t="inlineStr">
        <is>
          <t>サブシステム名</t>
        </is>
      </c>
      <c r="B3" s="225" t="n"/>
      <c r="C3" s="225" t="n"/>
      <c r="D3" s="226" t="n"/>
      <c r="E3" s="227">
        <f>IF(INDIRECT("変更履歴!E3")&lt;&gt;"",INDIRECT("変更履歴!E3"),"")</f>
        <v/>
      </c>
      <c r="F3" s="225" t="n"/>
      <c r="G3" s="225" t="n"/>
      <c r="H3" s="225" t="n"/>
      <c r="I3" s="225" t="n"/>
      <c r="J3" s="225" t="n"/>
      <c r="K3" s="225" t="n"/>
      <c r="L3" s="225" t="n"/>
      <c r="M3" s="225" t="n"/>
      <c r="N3" s="226" t="n"/>
      <c r="O3" s="236" t="n"/>
      <c r="P3" s="237" t="n"/>
      <c r="Q3" s="237" t="n"/>
      <c r="R3" s="238" t="n"/>
      <c r="S3" s="236" t="n"/>
      <c r="T3" s="237" t="n"/>
      <c r="U3" s="237" t="n"/>
      <c r="V3" s="237" t="n"/>
      <c r="W3" s="237" t="n"/>
      <c r="X3" s="237" t="n"/>
      <c r="Y3" s="237" t="n"/>
      <c r="Z3" s="238" t="n"/>
      <c r="AA3" s="251" t="n"/>
      <c r="AB3" s="226" t="n"/>
      <c r="AC3" s="232">
        <f>IF(INDIRECT("変更履歴!AC3")&lt;&gt;"",INDIRECT("変更履歴!AC3"),"")</f>
        <v/>
      </c>
      <c r="AD3" s="225" t="n"/>
      <c r="AE3" s="225" t="n"/>
      <c r="AF3" s="226" t="n"/>
      <c r="AG3" s="252">
        <f>IF(INDIRECT("変更履歴!AG3")&lt;&gt;"",INDIRECT("変更履歴!AG3"),"")</f>
        <v/>
      </c>
      <c r="AH3" s="225" t="n"/>
      <c r="AI3" s="226" t="n"/>
      <c r="AJ3" s="9" t="n"/>
      <c r="AK3" s="9" t="n"/>
    </row>
    <row r="4" ht="12" customHeight="1"/>
    <row r="5" ht="12" customFormat="1" customHeight="1" s="54">
      <c r="B5" s="89" t="inlineStr">
        <is>
          <t>コンポーネントID</t>
        </is>
      </c>
      <c r="C5" s="225" t="n"/>
      <c r="D5" s="225" t="n"/>
      <c r="E5" s="226" t="n"/>
      <c r="F5" s="206" t="inlineStr">
        <is>
          <t>CC0004</t>
        </is>
      </c>
      <c r="G5" s="225" t="n"/>
      <c r="H5" s="226" t="n"/>
      <c r="I5" s="89" t="inlineStr">
        <is>
          <t>コンポーネント名</t>
        </is>
      </c>
      <c r="J5" s="225" t="n"/>
      <c r="K5" s="225" t="n"/>
      <c r="L5" s="226" t="n"/>
      <c r="M5" s="206" t="inlineStr">
        <is>
          <t>申請ID採番</t>
        </is>
      </c>
      <c r="N5" s="225" t="n"/>
      <c r="O5" s="225" t="n"/>
      <c r="P5" s="225" t="n"/>
      <c r="Q5" s="225" t="n"/>
      <c r="R5" s="225" t="n"/>
      <c r="S5" s="225" t="n"/>
      <c r="T5" s="225" t="n"/>
      <c r="U5" s="226" t="n"/>
      <c r="V5" s="89" t="inlineStr">
        <is>
          <t>処理名</t>
        </is>
      </c>
      <c r="W5" s="225" t="n"/>
      <c r="X5" s="225" t="n"/>
      <c r="Y5" s="226" t="n"/>
      <c r="Z5" s="206" t="inlineStr">
        <is>
          <t>申請ID採番</t>
        </is>
      </c>
      <c r="AA5" s="225" t="n"/>
      <c r="AB5" s="225" t="n"/>
      <c r="AC5" s="225" t="n"/>
      <c r="AD5" s="225" t="n"/>
      <c r="AE5" s="225" t="n"/>
      <c r="AF5" s="225" t="n"/>
      <c r="AG5" s="225" t="n"/>
      <c r="AH5" s="226" t="n"/>
      <c r="AI5" s="45" t="n"/>
      <c r="AJ5" s="45" t="n"/>
      <c r="AK5" s="45" t="n"/>
      <c r="AL5" s="45" t="n"/>
    </row>
    <row r="6" ht="12" customFormat="1" customHeight="1" s="54">
      <c r="B6" s="89" t="inlineStr">
        <is>
          <t>処理説明</t>
        </is>
      </c>
      <c r="C6" s="225" t="n"/>
      <c r="D6" s="225" t="n"/>
      <c r="E6" s="225" t="n"/>
      <c r="F6" s="225" t="n"/>
      <c r="G6" s="225" t="n"/>
      <c r="H6" s="225" t="n"/>
      <c r="I6" s="225" t="n"/>
      <c r="J6" s="225" t="n"/>
      <c r="K6" s="225" t="n"/>
      <c r="L6" s="225" t="n"/>
      <c r="M6" s="225" t="n"/>
      <c r="N6" s="225" t="n"/>
      <c r="O6" s="225" t="n"/>
      <c r="P6" s="225" t="n"/>
      <c r="Q6" s="225" t="n"/>
      <c r="R6" s="225" t="n"/>
      <c r="S6" s="225" t="n"/>
      <c r="T6" s="225" t="n"/>
      <c r="U6" s="225" t="n"/>
      <c r="V6" s="225" t="n"/>
      <c r="W6" s="225" t="n"/>
      <c r="X6" s="225" t="n"/>
      <c r="Y6" s="225" t="n"/>
      <c r="Z6" s="225" t="n"/>
      <c r="AA6" s="225" t="n"/>
      <c r="AB6" s="225" t="n"/>
      <c r="AC6" s="225" t="n"/>
      <c r="AD6" s="225" t="n"/>
      <c r="AE6" s="225" t="n"/>
      <c r="AF6" s="225" t="n"/>
      <c r="AG6" s="225" t="n"/>
      <c r="AH6" s="226" t="n"/>
      <c r="AI6" s="45" t="n"/>
      <c r="AJ6" s="45" t="n"/>
      <c r="AK6" s="45" t="n"/>
    </row>
    <row r="7" ht="12" customFormat="1" customHeight="1" s="54">
      <c r="B7" s="250" t="inlineStr">
        <is>
          <t>1.処理概要
　採番ユーティリティを利用して、出張申請の申請IDを採番して返却する。採番フォーマットは BT ＋ YYYYMMDD ＋ 連番6桁（計16桁）。
2.注意事項
　連番はシーケンスを利用し、抜け番を許容する。本コンポーネントは出張申請登録（BTS01）の登録イベントから呼び出す。</t>
        </is>
      </c>
      <c r="C7" s="229" t="n"/>
      <c r="D7" s="229" t="n"/>
      <c r="E7" s="229" t="n"/>
      <c r="F7" s="229" t="n"/>
      <c r="G7" s="229" t="n"/>
      <c r="H7" s="229" t="n"/>
      <c r="I7" s="229" t="n"/>
      <c r="J7" s="229" t="n"/>
      <c r="K7" s="229" t="n"/>
      <c r="L7" s="229" t="n"/>
      <c r="M7" s="229" t="n"/>
      <c r="N7" s="229" t="n"/>
      <c r="O7" s="229" t="n"/>
      <c r="P7" s="229" t="n"/>
      <c r="Q7" s="229" t="n"/>
      <c r="R7" s="229" t="n"/>
      <c r="S7" s="229" t="n"/>
      <c r="T7" s="229" t="n"/>
      <c r="U7" s="229" t="n"/>
      <c r="V7" s="229" t="n"/>
      <c r="W7" s="229" t="n"/>
      <c r="X7" s="229" t="n"/>
      <c r="Y7" s="229" t="n"/>
      <c r="Z7" s="229" t="n"/>
      <c r="AA7" s="229" t="n"/>
      <c r="AB7" s="229" t="n"/>
      <c r="AC7" s="229" t="n"/>
      <c r="AD7" s="229" t="n"/>
      <c r="AE7" s="229" t="n"/>
      <c r="AF7" s="229" t="n"/>
      <c r="AG7" s="229" t="n"/>
      <c r="AH7" s="230" t="n"/>
    </row>
    <row r="8" ht="12" customFormat="1" customHeight="1" s="54">
      <c r="B8" s="234" t="n"/>
      <c r="AH8" s="235" t="n"/>
    </row>
    <row r="9" ht="12" customFormat="1" customHeight="1" s="45">
      <c r="B9" s="234" t="n"/>
      <c r="AH9" s="235" t="n"/>
    </row>
    <row r="10" ht="12" customHeight="1">
      <c r="B10" s="234" t="n"/>
      <c r="AH10" s="235" t="n"/>
    </row>
    <row r="11" ht="12" customHeight="1">
      <c r="B11" s="234" t="n"/>
      <c r="AH11" s="235" t="n"/>
    </row>
    <row r="12" ht="12" customHeight="1">
      <c r="B12" s="236" t="n"/>
      <c r="C12" s="237" t="n"/>
      <c r="D12" s="237" t="n"/>
      <c r="E12" s="237" t="n"/>
      <c r="F12" s="237" t="n"/>
      <c r="G12" s="237" t="n"/>
      <c r="H12" s="237" t="n"/>
      <c r="I12" s="237" t="n"/>
      <c r="J12" s="237" t="n"/>
      <c r="K12" s="237" t="n"/>
      <c r="L12" s="237" t="n"/>
      <c r="M12" s="237" t="n"/>
      <c r="N12" s="237" t="n"/>
      <c r="O12" s="237" t="n"/>
      <c r="P12" s="237" t="n"/>
      <c r="Q12" s="237" t="n"/>
      <c r="R12" s="237" t="n"/>
      <c r="S12" s="237" t="n"/>
      <c r="T12" s="237" t="n"/>
      <c r="U12" s="237" t="n"/>
      <c r="V12" s="237" t="n"/>
      <c r="W12" s="237" t="n"/>
      <c r="X12" s="237" t="n"/>
      <c r="Y12" s="237" t="n"/>
      <c r="Z12" s="237" t="n"/>
      <c r="AA12" s="237" t="n"/>
      <c r="AB12" s="237" t="n"/>
      <c r="AC12" s="237" t="n"/>
      <c r="AD12" s="237" t="n"/>
      <c r="AE12" s="237" t="n"/>
      <c r="AF12" s="237" t="n"/>
      <c r="AG12" s="237" t="n"/>
      <c r="AH12" s="238" t="n"/>
    </row>
    <row r="13" ht="12" customHeight="1">
      <c r="B13" s="89" t="inlineStr">
        <is>
          <t>クラス名</t>
        </is>
      </c>
      <c r="C13" s="225" t="n"/>
      <c r="D13" s="225" t="n"/>
      <c r="E13" s="226" t="n"/>
      <c r="F13" s="206" t="inlineStr">
        <is>
          <t>ApplicationIdGenerator</t>
        </is>
      </c>
      <c r="G13" s="225" t="n"/>
      <c r="H13" s="225" t="n"/>
      <c r="I13" s="225" t="n"/>
      <c r="J13" s="225" t="n"/>
      <c r="K13" s="225" t="n"/>
      <c r="L13" s="225" t="n"/>
      <c r="M13" s="225" t="n"/>
      <c r="N13" s="225" t="n"/>
      <c r="O13" s="225" t="n"/>
      <c r="P13" s="226" t="n"/>
      <c r="Q13" s="89" t="inlineStr">
        <is>
          <t>メソッド名</t>
        </is>
      </c>
      <c r="R13" s="225" t="n"/>
      <c r="S13" s="225" t="n"/>
      <c r="T13" s="226" t="n"/>
      <c r="U13" s="206" t="inlineStr">
        <is>
          <t>generateApplicationId</t>
        </is>
      </c>
      <c r="V13" s="225" t="n"/>
      <c r="W13" s="225" t="n"/>
      <c r="X13" s="225" t="n"/>
      <c r="Y13" s="225" t="n"/>
      <c r="Z13" s="225" t="n"/>
      <c r="AA13" s="225" t="n"/>
      <c r="AB13" s="225" t="n"/>
      <c r="AC13" s="225" t="n"/>
      <c r="AD13" s="225" t="n"/>
      <c r="AE13" s="225" t="n"/>
      <c r="AF13" s="225" t="n"/>
      <c r="AG13" s="225" t="n"/>
      <c r="AH13" s="226" t="n"/>
    </row>
    <row r="14" ht="12" customHeight="1">
      <c r="B14" s="89" t="inlineStr">
        <is>
          <t>入出力パラメータ</t>
        </is>
      </c>
      <c r="C14" s="225" t="n"/>
      <c r="D14" s="225" t="n"/>
      <c r="E14" s="225" t="n"/>
      <c r="F14" s="225" t="n"/>
      <c r="G14" s="225" t="n"/>
      <c r="H14" s="225" t="n"/>
      <c r="I14" s="225" t="n"/>
      <c r="J14" s="225" t="n"/>
      <c r="K14" s="225" t="n"/>
      <c r="L14" s="225" t="n"/>
      <c r="M14" s="225" t="n"/>
      <c r="N14" s="225" t="n"/>
      <c r="O14" s="225" t="n"/>
      <c r="P14" s="225" t="n"/>
      <c r="Q14" s="225" t="n"/>
      <c r="R14" s="225" t="n"/>
      <c r="S14" s="225" t="n"/>
      <c r="T14" s="225" t="n"/>
      <c r="U14" s="225" t="n"/>
      <c r="V14" s="225" t="n"/>
      <c r="W14" s="225" t="n"/>
      <c r="X14" s="225" t="n"/>
      <c r="Y14" s="225" t="n"/>
      <c r="Z14" s="225" t="n"/>
      <c r="AA14" s="225" t="n"/>
      <c r="AB14" s="225" t="n"/>
      <c r="AC14" s="225" t="n"/>
      <c r="AD14" s="225" t="n"/>
      <c r="AE14" s="225" t="n"/>
      <c r="AF14" s="225" t="n"/>
      <c r="AG14" s="225" t="n"/>
      <c r="AH14" s="226" t="n"/>
    </row>
    <row r="15" ht="12" customHeight="1">
      <c r="B15" s="89" t="inlineStr">
        <is>
          <t>項目名</t>
        </is>
      </c>
      <c r="C15" s="225" t="n"/>
      <c r="D15" s="225" t="n"/>
      <c r="E15" s="225" t="n"/>
      <c r="F15" s="225" t="n"/>
      <c r="G15" s="225" t="n"/>
      <c r="H15" s="225" t="n"/>
      <c r="I15" s="226" t="n"/>
      <c r="J15" s="89" t="inlineStr">
        <is>
          <t>I/O</t>
        </is>
      </c>
      <c r="K15" s="226" t="n"/>
      <c r="L15" s="89" t="inlineStr">
        <is>
          <t>型</t>
        </is>
      </c>
      <c r="M15" s="225" t="n"/>
      <c r="N15" s="226" t="n"/>
      <c r="O15" s="89" t="inlineStr">
        <is>
          <t>必須</t>
        </is>
      </c>
      <c r="P15" s="226" t="n"/>
      <c r="Q15" s="89" t="inlineStr">
        <is>
          <t>項目説明</t>
        </is>
      </c>
      <c r="R15" s="225" t="n"/>
      <c r="S15" s="225" t="n"/>
      <c r="T15" s="225" t="n"/>
      <c r="U15" s="225" t="n"/>
      <c r="V15" s="225" t="n"/>
      <c r="W15" s="225" t="n"/>
      <c r="X15" s="225" t="n"/>
      <c r="Y15" s="225" t="n"/>
      <c r="Z15" s="225" t="n"/>
      <c r="AA15" s="225" t="n"/>
      <c r="AB15" s="225" t="n"/>
      <c r="AC15" s="225" t="n"/>
      <c r="AD15" s="225" t="n"/>
      <c r="AE15" s="225" t="n"/>
      <c r="AF15" s="225" t="n"/>
      <c r="AG15" s="225" t="n"/>
      <c r="AH15" s="226" t="n"/>
    </row>
    <row r="16" ht="12" customHeight="1">
      <c r="B16" s="206" t="inlineStr">
        <is>
          <t>申請ID</t>
        </is>
      </c>
      <c r="C16" s="225" t="n"/>
      <c r="D16" s="225" t="n"/>
      <c r="E16" s="225" t="n"/>
      <c r="F16" s="225" t="n"/>
      <c r="G16" s="225" t="n"/>
      <c r="H16" s="225" t="n"/>
      <c r="I16" s="226" t="n"/>
      <c r="J16" s="206" t="inlineStr">
        <is>
          <t>O</t>
        </is>
      </c>
      <c r="K16" s="226" t="n"/>
      <c r="L16" s="206" t="inlineStr">
        <is>
          <t>String</t>
        </is>
      </c>
      <c r="M16" s="225" t="n"/>
      <c r="N16" s="226" t="n"/>
      <c r="O16" s="255" t="inlineStr">
        <is>
          <t>-</t>
        </is>
      </c>
      <c r="P16" s="226" t="n"/>
      <c r="Q16" s="206" t="inlineStr">
        <is>
          <t>採番した申請ID（16桁：BT＋YYYYMMDD＋連番6桁）</t>
        </is>
      </c>
      <c r="R16" s="225" t="n"/>
      <c r="S16" s="225" t="n"/>
      <c r="T16" s="225" t="n"/>
      <c r="U16" s="225" t="n"/>
      <c r="V16" s="225" t="n"/>
      <c r="W16" s="225" t="n"/>
      <c r="X16" s="225" t="n"/>
      <c r="Y16" s="225" t="n"/>
      <c r="Z16" s="225" t="n"/>
      <c r="AA16" s="225" t="n"/>
      <c r="AB16" s="225" t="n"/>
      <c r="AC16" s="225" t="n"/>
      <c r="AD16" s="225" t="n"/>
      <c r="AE16" s="225" t="n"/>
      <c r="AF16" s="225" t="n"/>
      <c r="AG16" s="225" t="n"/>
      <c r="AH16" s="226" t="n"/>
    </row>
    <row r="17" ht="12" customHeight="1">
      <c r="B17" s="206" t="n"/>
      <c r="C17" s="225" t="n"/>
      <c r="D17" s="225" t="n"/>
      <c r="E17" s="225" t="n"/>
      <c r="F17" s="225" t="n"/>
      <c r="G17" s="225" t="n"/>
      <c r="H17" s="225" t="n"/>
      <c r="I17" s="226" t="n"/>
      <c r="J17" s="206" t="n"/>
      <c r="K17" s="226" t="n"/>
      <c r="L17" s="206" t="n"/>
      <c r="M17" s="225" t="n"/>
      <c r="N17" s="226" t="n"/>
      <c r="O17" s="255" t="n"/>
      <c r="P17" s="226" t="n"/>
      <c r="Q17" s="206" t="n"/>
      <c r="R17" s="225" t="n"/>
      <c r="S17" s="225" t="n"/>
      <c r="T17" s="225" t="n"/>
      <c r="U17" s="225" t="n"/>
      <c r="V17" s="225" t="n"/>
      <c r="W17" s="225" t="n"/>
      <c r="X17" s="225" t="n"/>
      <c r="Y17" s="225" t="n"/>
      <c r="Z17" s="225" t="n"/>
      <c r="AA17" s="225" t="n"/>
      <c r="AB17" s="225" t="n"/>
      <c r="AC17" s="225" t="n"/>
      <c r="AD17" s="225" t="n"/>
      <c r="AE17" s="225" t="n"/>
      <c r="AF17" s="225" t="n"/>
      <c r="AG17" s="225" t="n"/>
      <c r="AH17" s="226" t="n"/>
    </row>
    <row r="18" ht="12" customHeight="1">
      <c r="B18" s="206" t="n"/>
      <c r="C18" s="225" t="n"/>
      <c r="D18" s="225" t="n"/>
      <c r="E18" s="225" t="n"/>
      <c r="F18" s="225" t="n"/>
      <c r="G18" s="225" t="n"/>
      <c r="H18" s="225" t="n"/>
      <c r="I18" s="226" t="n"/>
      <c r="J18" s="206" t="n"/>
      <c r="K18" s="226" t="n"/>
      <c r="L18" s="206" t="n"/>
      <c r="M18" s="225" t="n"/>
      <c r="N18" s="226" t="n"/>
      <c r="O18" s="255" t="n"/>
      <c r="P18" s="226" t="n"/>
      <c r="Q18" s="206" t="n"/>
      <c r="R18" s="225" t="n"/>
      <c r="S18" s="225" t="n"/>
      <c r="T18" s="225" t="n"/>
      <c r="U18" s="225" t="n"/>
      <c r="V18" s="225" t="n"/>
      <c r="W18" s="225" t="n"/>
      <c r="X18" s="225" t="n"/>
      <c r="Y18" s="225" t="n"/>
      <c r="Z18" s="225" t="n"/>
      <c r="AA18" s="225" t="n"/>
      <c r="AB18" s="225" t="n"/>
      <c r="AC18" s="225" t="n"/>
      <c r="AD18" s="225" t="n"/>
      <c r="AE18" s="225" t="n"/>
      <c r="AF18" s="225" t="n"/>
      <c r="AG18" s="225" t="n"/>
      <c r="AH18" s="226" t="n"/>
    </row>
    <row r="19" ht="12" customHeight="1">
      <c r="B19" s="89" t="inlineStr">
        <is>
          <t>CRUD一覧</t>
        </is>
      </c>
      <c r="C19" s="225" t="n"/>
      <c r="D19" s="225" t="n"/>
      <c r="E19" s="225" t="n"/>
      <c r="F19" s="225" t="n"/>
      <c r="G19" s="225" t="n"/>
      <c r="H19" s="225" t="n"/>
      <c r="I19" s="225" t="n"/>
      <c r="J19" s="225" t="n"/>
      <c r="K19" s="225" t="n"/>
      <c r="L19" s="225" t="n"/>
      <c r="M19" s="225" t="n"/>
      <c r="N19" s="225" t="n"/>
      <c r="O19" s="225" t="n"/>
      <c r="P19" s="225" t="n"/>
      <c r="Q19" s="225" t="n"/>
      <c r="R19" s="225" t="n"/>
      <c r="S19" s="225" t="n"/>
      <c r="T19" s="225" t="n"/>
      <c r="U19" s="225" t="n"/>
      <c r="V19" s="225" t="n"/>
      <c r="W19" s="225" t="n"/>
      <c r="X19" s="225" t="n"/>
      <c r="Y19" s="225" t="n"/>
      <c r="Z19" s="225" t="n"/>
      <c r="AA19" s="225" t="n"/>
      <c r="AB19" s="225" t="n"/>
      <c r="AC19" s="225" t="n"/>
      <c r="AD19" s="225" t="n"/>
      <c r="AE19" s="225" t="n"/>
      <c r="AF19" s="225" t="n"/>
      <c r="AG19" s="225" t="n"/>
      <c r="AH19" s="226" t="n"/>
    </row>
    <row r="20" ht="12" customHeight="1">
      <c r="B20" s="89" t="inlineStr">
        <is>
          <t>テーブル名</t>
        </is>
      </c>
      <c r="C20" s="225" t="n"/>
      <c r="D20" s="225" t="n"/>
      <c r="E20" s="225" t="n"/>
      <c r="F20" s="225" t="n"/>
      <c r="G20" s="225" t="n"/>
      <c r="H20" s="225" t="n"/>
      <c r="I20" s="226" t="n"/>
      <c r="J20" s="89" t="inlineStr">
        <is>
          <t>C</t>
        </is>
      </c>
      <c r="K20" s="89" t="inlineStr">
        <is>
          <t>R</t>
        </is>
      </c>
      <c r="L20" s="89" t="inlineStr">
        <is>
          <t>U</t>
        </is>
      </c>
      <c r="M20" s="89" t="inlineStr">
        <is>
          <t>D</t>
        </is>
      </c>
      <c r="N20" s="89" t="inlineStr">
        <is>
          <t>備考</t>
        </is>
      </c>
      <c r="O20" s="225" t="n"/>
      <c r="P20" s="225" t="n"/>
      <c r="Q20" s="225" t="n"/>
      <c r="R20" s="225" t="n"/>
      <c r="S20" s="225" t="n"/>
      <c r="T20" s="225" t="n"/>
      <c r="U20" s="225" t="n"/>
      <c r="V20" s="225" t="n"/>
      <c r="W20" s="225" t="n"/>
      <c r="X20" s="225" t="n"/>
      <c r="Y20" s="225" t="n"/>
      <c r="Z20" s="225" t="n"/>
      <c r="AA20" s="225" t="n"/>
      <c r="AB20" s="225" t="n"/>
      <c r="AC20" s="225" t="n"/>
      <c r="AD20" s="225" t="n"/>
      <c r="AE20" s="225" t="n"/>
      <c r="AF20" s="225" t="n"/>
      <c r="AG20" s="225" t="n"/>
      <c r="AH20" s="226" t="n"/>
    </row>
    <row r="21" ht="12" customHeight="1">
      <c r="B21" s="206" t="inlineStr">
        <is>
          <t>BT_APPLICATION_SEQ（シーケンス）</t>
        </is>
      </c>
      <c r="C21" s="225" t="n"/>
      <c r="D21" s="225" t="n"/>
      <c r="E21" s="225" t="n"/>
      <c r="F21" s="225" t="n"/>
      <c r="G21" s="225" t="n"/>
      <c r="H21" s="225" t="n"/>
      <c r="I21" s="226" t="n"/>
      <c r="J21" s="207" t="inlineStr">
        <is>
          <t>-</t>
        </is>
      </c>
      <c r="K21" s="207" t="inlineStr">
        <is>
          <t>○</t>
        </is>
      </c>
      <c r="L21" s="207" t="inlineStr">
        <is>
          <t>-</t>
        </is>
      </c>
      <c r="M21" s="207" t="inlineStr">
        <is>
          <t>-</t>
        </is>
      </c>
      <c r="N21" s="206" t="inlineStr">
        <is>
          <t>申請ID採番用シーケンスから連番を取得する</t>
        </is>
      </c>
      <c r="O21" s="225" t="n"/>
      <c r="P21" s="225" t="n"/>
      <c r="Q21" s="225" t="n"/>
      <c r="R21" s="225" t="n"/>
      <c r="S21" s="225" t="n"/>
      <c r="T21" s="225" t="n"/>
      <c r="U21" s="225" t="n"/>
      <c r="V21" s="225" t="n"/>
      <c r="W21" s="225" t="n"/>
      <c r="X21" s="225" t="n"/>
      <c r="Y21" s="225" t="n"/>
      <c r="Z21" s="225" t="n"/>
      <c r="AA21" s="225" t="n"/>
      <c r="AB21" s="225" t="n"/>
      <c r="AC21" s="225" t="n"/>
      <c r="AD21" s="225" t="n"/>
      <c r="AE21" s="225" t="n"/>
      <c r="AF21" s="225" t="n"/>
      <c r="AG21" s="225" t="n"/>
      <c r="AH21" s="226" t="n"/>
    </row>
    <row r="22" ht="12" customHeight="1">
      <c r="B22" s="206" t="n"/>
      <c r="C22" s="225" t="n"/>
      <c r="D22" s="225" t="n"/>
      <c r="E22" s="225" t="n"/>
      <c r="F22" s="225" t="n"/>
      <c r="G22" s="225" t="n"/>
      <c r="H22" s="225" t="n"/>
      <c r="I22" s="226" t="n"/>
      <c r="J22" s="207" t="n"/>
      <c r="K22" s="207" t="n"/>
      <c r="L22" s="207" t="n"/>
      <c r="M22" s="207" t="n"/>
      <c r="N22" s="206" t="n"/>
      <c r="O22" s="225" t="n"/>
      <c r="P22" s="225" t="n"/>
      <c r="Q22" s="225" t="n"/>
      <c r="R22" s="225" t="n"/>
      <c r="S22" s="225" t="n"/>
      <c r="T22" s="225" t="n"/>
      <c r="U22" s="225" t="n"/>
      <c r="V22" s="225" t="n"/>
      <c r="W22" s="225" t="n"/>
      <c r="X22" s="225" t="n"/>
      <c r="Y22" s="225" t="n"/>
      <c r="Z22" s="225" t="n"/>
      <c r="AA22" s="225" t="n"/>
      <c r="AB22" s="225" t="n"/>
      <c r="AC22" s="225" t="n"/>
      <c r="AD22" s="225" t="n"/>
      <c r="AE22" s="225" t="n"/>
      <c r="AF22" s="225" t="n"/>
      <c r="AG22" s="225" t="n"/>
      <c r="AH22" s="226" t="n"/>
    </row>
    <row r="23" ht="12" customHeight="1">
      <c r="B23" s="89" t="inlineStr">
        <is>
          <t>エラー情報</t>
        </is>
      </c>
      <c r="C23" s="225" t="n"/>
      <c r="D23" s="225" t="n"/>
      <c r="E23" s="225" t="n"/>
      <c r="F23" s="225" t="n"/>
      <c r="G23" s="225" t="n"/>
      <c r="H23" s="225" t="n"/>
      <c r="I23" s="225" t="n"/>
      <c r="J23" s="225" t="n"/>
      <c r="K23" s="225" t="n"/>
      <c r="L23" s="225" t="n"/>
      <c r="M23" s="225" t="n"/>
      <c r="N23" s="225" t="n"/>
      <c r="O23" s="225" t="n"/>
      <c r="P23" s="225" t="n"/>
      <c r="Q23" s="225" t="n"/>
      <c r="R23" s="225" t="n"/>
      <c r="S23" s="225" t="n"/>
      <c r="T23" s="225" t="n"/>
      <c r="U23" s="225" t="n"/>
      <c r="V23" s="225" t="n"/>
      <c r="W23" s="225" t="n"/>
      <c r="X23" s="225" t="n"/>
      <c r="Y23" s="225" t="n"/>
      <c r="Z23" s="225" t="n"/>
      <c r="AA23" s="225" t="n"/>
      <c r="AB23" s="225" t="n"/>
      <c r="AC23" s="225" t="n"/>
      <c r="AD23" s="225" t="n"/>
      <c r="AE23" s="225" t="n"/>
      <c r="AF23" s="225" t="n"/>
      <c r="AG23" s="225" t="n"/>
      <c r="AH23" s="226" t="n"/>
    </row>
    <row r="24" ht="24" customHeight="1">
      <c r="B24" s="256" t="inlineStr">
        <is>
          <t>エラー
番号</t>
        </is>
      </c>
      <c r="C24" s="226" t="n"/>
      <c r="D24" s="89" t="inlineStr">
        <is>
          <t>エラー名</t>
        </is>
      </c>
      <c r="E24" s="225" t="n"/>
      <c r="F24" s="225" t="n"/>
      <c r="G24" s="225" t="n"/>
      <c r="H24" s="225" t="n"/>
      <c r="I24" s="225" t="n"/>
      <c r="J24" s="226" t="n"/>
      <c r="K24" s="89" t="inlineStr">
        <is>
          <t>エラー種別</t>
        </is>
      </c>
      <c r="L24" s="225" t="n"/>
      <c r="M24" s="225" t="n"/>
      <c r="N24" s="225" t="n"/>
      <c r="O24" s="226" t="n"/>
      <c r="P24" s="89" t="inlineStr">
        <is>
          <t>メッセージID</t>
        </is>
      </c>
      <c r="Q24" s="225" t="n"/>
      <c r="R24" s="226" t="n"/>
      <c r="S24" s="89" t="inlineStr">
        <is>
          <t>埋め込み文字列</t>
        </is>
      </c>
      <c r="T24" s="225" t="n"/>
      <c r="U24" s="225" t="n"/>
      <c r="V24" s="225" t="n"/>
      <c r="W24" s="226" t="n"/>
      <c r="X24" s="89" t="inlineStr">
        <is>
          <t>エラー概要</t>
        </is>
      </c>
      <c r="Y24" s="225" t="n"/>
      <c r="Z24" s="225" t="n"/>
      <c r="AA24" s="225" t="n"/>
      <c r="AB24" s="225" t="n"/>
      <c r="AC24" s="225" t="n"/>
      <c r="AD24" s="225" t="n"/>
      <c r="AE24" s="225" t="n"/>
      <c r="AF24" s="225" t="n"/>
      <c r="AG24" s="225" t="n"/>
      <c r="AH24" s="226" t="n"/>
    </row>
    <row r="25">
      <c r="B25" s="257" t="inlineStr">
        <is>
          <t>-</t>
        </is>
      </c>
      <c r="C25" s="226" t="n"/>
      <c r="D25" s="250" t="inlineStr">
        <is>
          <t>該当なし</t>
        </is>
      </c>
      <c r="E25" s="225" t="n"/>
      <c r="F25" s="225" t="n"/>
      <c r="G25" s="225" t="n"/>
      <c r="H25" s="225" t="n"/>
      <c r="I25" s="225" t="n"/>
      <c r="J25" s="226" t="n"/>
      <c r="K25" s="250" t="inlineStr">
        <is>
          <t>-</t>
        </is>
      </c>
      <c r="L25" s="225" t="n"/>
      <c r="M25" s="225" t="n"/>
      <c r="N25" s="225" t="n"/>
      <c r="O25" s="226" t="n"/>
      <c r="P25" s="250" t="inlineStr">
        <is>
          <t>-</t>
        </is>
      </c>
      <c r="Q25" s="225" t="n"/>
      <c r="R25" s="226" t="n"/>
      <c r="S25" s="250" t="inlineStr">
        <is>
          <t>-</t>
        </is>
      </c>
      <c r="T25" s="225" t="n"/>
      <c r="U25" s="225" t="n"/>
      <c r="V25" s="225" t="n"/>
      <c r="W25" s="226" t="n"/>
      <c r="X25" s="250" t="inlineStr">
        <is>
          <t>-</t>
        </is>
      </c>
      <c r="Y25" s="225" t="n"/>
      <c r="Z25" s="225" t="n"/>
      <c r="AA25" s="225" t="n"/>
      <c r="AB25" s="225" t="n"/>
      <c r="AC25" s="225" t="n"/>
      <c r="AD25" s="225" t="n"/>
      <c r="AE25" s="225" t="n"/>
      <c r="AF25" s="225" t="n"/>
      <c r="AG25" s="225" t="n"/>
      <c r="AH25" s="226" t="n"/>
      <c r="AI25" s="22" t="n"/>
    </row>
    <row r="26" ht="12" customHeight="1"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54" t="n"/>
      <c r="AJ26" s="54" t="n"/>
    </row>
    <row r="27" ht="24" customHeight="1">
      <c r="B27" s="258" t="inlineStr">
        <is>
          <t>処理定義</t>
        </is>
      </c>
      <c r="C27" s="225" t="n"/>
      <c r="D27" s="225" t="n"/>
      <c r="E27" s="225" t="n"/>
      <c r="F27" s="225" t="n"/>
      <c r="G27" s="225" t="n"/>
      <c r="H27" s="225" t="n"/>
      <c r="I27" s="225" t="n"/>
      <c r="J27" s="225" t="n"/>
      <c r="K27" s="225" t="n"/>
      <c r="L27" s="225" t="n"/>
      <c r="M27" s="225" t="n"/>
      <c r="N27" s="225" t="n"/>
      <c r="O27" s="225" t="n"/>
      <c r="P27" s="225" t="n"/>
      <c r="Q27" s="225" t="n"/>
      <c r="R27" s="225" t="n"/>
      <c r="S27" s="225" t="n"/>
      <c r="T27" s="225" t="n"/>
      <c r="U27" s="225" t="n"/>
      <c r="V27" s="225" t="n"/>
      <c r="W27" s="225" t="n"/>
      <c r="X27" s="226" t="n"/>
      <c r="Y27" s="258" t="inlineStr">
        <is>
          <t>共通ｺﾝﾎﾟｰﾈﾝﾄID</t>
        </is>
      </c>
      <c r="Z27" s="225" t="n"/>
      <c r="AA27" s="226" t="n"/>
      <c r="AB27" s="258" t="inlineStr">
        <is>
          <t>共通ｺﾝﾎﾟｰﾈﾝﾄ処理名</t>
        </is>
      </c>
      <c r="AC27" s="225" t="n"/>
      <c r="AD27" s="225" t="n"/>
      <c r="AE27" s="225" t="n"/>
      <c r="AF27" s="226" t="n"/>
      <c r="AG27" s="256" t="inlineStr">
        <is>
          <t>エラー
番号</t>
        </is>
      </c>
      <c r="AH27" s="226" t="n"/>
      <c r="AI27" s="45" t="n"/>
      <c r="AJ27" s="45" t="n"/>
      <c r="AK27" s="45" t="n"/>
    </row>
    <row r="28" ht="12" customHeight="1">
      <c r="B28" s="216" t="inlineStr">
        <is>
          <t>1. 採番処理</t>
        </is>
      </c>
      <c r="C28" s="198" t="n"/>
      <c r="D28" s="198" t="n"/>
      <c r="E28" s="198" t="n"/>
      <c r="F28" s="198" t="n"/>
      <c r="G28" s="198" t="n"/>
      <c r="H28" s="198" t="n"/>
      <c r="I28" s="198" t="n"/>
      <c r="J28" s="198" t="n"/>
      <c r="K28" s="198" t="n"/>
      <c r="L28" s="198" t="n"/>
      <c r="M28" s="198" t="n"/>
      <c r="N28" s="198" t="n"/>
      <c r="O28" s="198" t="n"/>
      <c r="P28" s="198" t="n"/>
      <c r="Q28" s="198" t="n"/>
      <c r="R28" s="198" t="n"/>
      <c r="S28" s="198" t="n"/>
      <c r="T28" s="198" t="n"/>
      <c r="U28" s="198" t="n"/>
      <c r="V28" s="198" t="n"/>
      <c r="W28" s="198" t="n"/>
      <c r="X28" s="199" t="n"/>
      <c r="Y28" s="259" t="n"/>
      <c r="Z28" s="229" t="n"/>
      <c r="AA28" s="230" t="n"/>
      <c r="AB28" s="259" t="n"/>
      <c r="AC28" s="229" t="n"/>
      <c r="AD28" s="229" t="n"/>
      <c r="AE28" s="229" t="n"/>
      <c r="AF28" s="230" t="n"/>
      <c r="AG28" s="260" t="n"/>
      <c r="AH28" s="230" t="n"/>
    </row>
    <row r="29" ht="12" customHeight="1">
      <c r="B29" s="200" t="n"/>
      <c r="C29" s="201" t="inlineStr">
        <is>
          <t xml:space="preserve">　採番ユーティリティを呼び出し、申請ID採番用シーケンスから連番（6桁）を取得する。</t>
        </is>
      </c>
      <c r="D29" s="201" t="n"/>
      <c r="E29" s="201" t="n"/>
      <c r="F29" s="201" t="n"/>
      <c r="G29" s="201" t="n"/>
      <c r="H29" s="201" t="n"/>
      <c r="I29" s="201" t="n"/>
      <c r="J29" s="201" t="n"/>
      <c r="K29" s="201" t="n"/>
      <c r="L29" s="201" t="n"/>
      <c r="M29" s="201" t="n"/>
      <c r="N29" s="201" t="n"/>
      <c r="O29" s="201" t="n"/>
      <c r="P29" s="201" t="n"/>
      <c r="Q29" s="201" t="n"/>
      <c r="R29" s="201" t="n"/>
      <c r="S29" s="201" t="n"/>
      <c r="T29" s="201" t="n"/>
      <c r="U29" s="201" t="n"/>
      <c r="V29" s="201" t="n"/>
      <c r="W29" s="201" t="n"/>
      <c r="X29" s="202" t="n"/>
      <c r="Y29" s="261" t="n"/>
      <c r="AA29" s="235" t="n"/>
      <c r="AB29" s="261" t="n"/>
      <c r="AF29" s="235" t="n"/>
      <c r="AG29" s="262" t="n"/>
      <c r="AH29" s="235" t="n"/>
    </row>
    <row r="30" ht="12" customHeight="1">
      <c r="B30" s="200" t="n"/>
      <c r="C30" s="201" t="inlineStr">
        <is>
          <t xml:space="preserve">　⇒使用ユーティリティ：【nablarch.common.idgenerator.SequenceIdGenerator】</t>
        </is>
      </c>
      <c r="D30" s="201" t="n"/>
      <c r="E30" s="201" t="n"/>
      <c r="F30" s="201" t="n"/>
      <c r="G30" s="201" t="n"/>
      <c r="H30" s="201" t="n"/>
      <c r="I30" s="201" t="n"/>
      <c r="J30" s="201" t="n"/>
      <c r="K30" s="201" t="n"/>
      <c r="L30" s="201" t="n"/>
      <c r="M30" s="201" t="n"/>
      <c r="N30" s="201" t="n"/>
      <c r="O30" s="201" t="n"/>
      <c r="P30" s="201" t="n"/>
      <c r="Q30" s="201" t="n"/>
      <c r="R30" s="201" t="n"/>
      <c r="S30" s="201" t="n"/>
      <c r="T30" s="201" t="n"/>
      <c r="U30" s="201" t="n"/>
      <c r="V30" s="201" t="n"/>
      <c r="W30" s="201" t="n"/>
      <c r="X30" s="202" t="n"/>
      <c r="Y30" s="261" t="n"/>
      <c r="AA30" s="235" t="n"/>
      <c r="AB30" s="261" t="n"/>
      <c r="AF30" s="235" t="n"/>
      <c r="AG30" s="262" t="n"/>
      <c r="AH30" s="235" t="n"/>
    </row>
    <row r="31" ht="12" customHeight="1">
      <c r="B31" s="200" t="inlineStr">
        <is>
          <t>2. 編集処理</t>
        </is>
      </c>
      <c r="C31" s="201" t="n"/>
      <c r="D31" s="201" t="n"/>
      <c r="E31" s="201" t="n"/>
      <c r="F31" s="201" t="n"/>
      <c r="G31" s="201" t="n"/>
      <c r="H31" s="201" t="n"/>
      <c r="I31" s="201" t="n"/>
      <c r="J31" s="201" t="n"/>
      <c r="K31" s="201" t="n"/>
      <c r="L31" s="201" t="n"/>
      <c r="M31" s="201" t="n"/>
      <c r="N31" s="201" t="n"/>
      <c r="O31" s="201" t="n"/>
      <c r="P31" s="201" t="n"/>
      <c r="Q31" s="201" t="n"/>
      <c r="R31" s="201" t="n"/>
      <c r="S31" s="201" t="n"/>
      <c r="T31" s="201" t="n"/>
      <c r="U31" s="201" t="n"/>
      <c r="V31" s="201" t="n"/>
      <c r="W31" s="201" t="n"/>
      <c r="X31" s="202" t="n"/>
      <c r="Y31" s="261" t="n"/>
      <c r="AA31" s="235" t="n"/>
      <c r="AB31" s="261" t="n"/>
      <c r="AF31" s="235" t="n"/>
      <c r="AG31" s="262" t="n"/>
      <c r="AH31" s="235" t="n"/>
    </row>
    <row r="32" ht="12" customHeight="1">
      <c r="B32" s="200" t="n"/>
      <c r="C32" s="201" t="inlineStr">
        <is>
          <t xml:space="preserve">　'BT' ＋ システム日付（YYYYMMDD） ＋ 連番（6桁ゼロ埋め）を連結し、16桁の申請IDを編集する。</t>
        </is>
      </c>
      <c r="D32" s="201" t="n"/>
      <c r="E32" s="201" t="n"/>
      <c r="F32" s="201" t="n"/>
      <c r="G32" s="201" t="n"/>
      <c r="H32" s="201" t="n"/>
      <c r="I32" s="201" t="n"/>
      <c r="J32" s="201" t="n"/>
      <c r="K32" s="201" t="n"/>
      <c r="L32" s="201" t="n"/>
      <c r="M32" s="201" t="n"/>
      <c r="N32" s="201" t="n"/>
      <c r="O32" s="201" t="n"/>
      <c r="P32" s="201" t="n"/>
      <c r="Q32" s="201" t="n"/>
      <c r="R32" s="201" t="n"/>
      <c r="S32" s="201" t="n"/>
      <c r="T32" s="201" t="n"/>
      <c r="U32" s="201" t="n"/>
      <c r="V32" s="201" t="n"/>
      <c r="W32" s="201" t="n"/>
      <c r="X32" s="202" t="n"/>
      <c r="Y32" s="261" t="n"/>
      <c r="AA32" s="235" t="n"/>
      <c r="AB32" s="261" t="n"/>
      <c r="AF32" s="235" t="n"/>
      <c r="AG32" s="262" t="n"/>
      <c r="AH32" s="235" t="n"/>
    </row>
    <row r="33" ht="12" customHeight="1">
      <c r="B33" s="200" t="inlineStr">
        <is>
          <t>3. 戻り値返却</t>
        </is>
      </c>
      <c r="C33" s="201" t="n"/>
      <c r="D33" s="201" t="n"/>
      <c r="E33" s="201" t="n"/>
      <c r="F33" s="201" t="n"/>
      <c r="G33" s="201" t="n"/>
      <c r="H33" s="201" t="n"/>
      <c r="I33" s="201" t="n"/>
      <c r="J33" s="201" t="n"/>
      <c r="K33" s="201" t="n"/>
      <c r="L33" s="201" t="n"/>
      <c r="M33" s="201" t="n"/>
      <c r="N33" s="201" t="n"/>
      <c r="O33" s="201" t="n"/>
      <c r="P33" s="201" t="n"/>
      <c r="Q33" s="201" t="n"/>
      <c r="R33" s="201" t="n"/>
      <c r="S33" s="201" t="n"/>
      <c r="T33" s="201" t="n"/>
      <c r="U33" s="201" t="n"/>
      <c r="V33" s="201" t="n"/>
      <c r="W33" s="201" t="n"/>
      <c r="X33" s="202" t="n"/>
      <c r="Y33" s="261" t="n"/>
      <c r="AA33" s="235" t="n"/>
      <c r="AB33" s="261" t="n"/>
      <c r="AF33" s="235" t="n"/>
      <c r="AG33" s="262" t="n"/>
      <c r="AH33" s="235" t="n"/>
    </row>
    <row r="34" ht="12" customHeight="1">
      <c r="B34" s="200" t="n"/>
      <c r="C34" s="201" t="inlineStr">
        <is>
          <t xml:space="preserve">　編集した申請IDを呼び元へ返却する。</t>
        </is>
      </c>
      <c r="D34" s="201" t="n"/>
      <c r="E34" s="201" t="n"/>
      <c r="F34" s="201" t="n"/>
      <c r="G34" s="201" t="n"/>
      <c r="H34" s="201" t="n"/>
      <c r="I34" s="201" t="n"/>
      <c r="J34" s="201" t="n"/>
      <c r="K34" s="201" t="n"/>
      <c r="L34" s="201" t="n"/>
      <c r="M34" s="201" t="n"/>
      <c r="N34" s="201" t="n"/>
      <c r="O34" s="201" t="n"/>
      <c r="P34" s="201" t="n"/>
      <c r="Q34" s="201" t="n"/>
      <c r="R34" s="201" t="n"/>
      <c r="S34" s="201" t="n"/>
      <c r="T34" s="201" t="n"/>
      <c r="U34" s="201" t="n"/>
      <c r="V34" s="201" t="n"/>
      <c r="W34" s="201" t="n"/>
      <c r="X34" s="202" t="n"/>
      <c r="Y34" s="261" t="n"/>
      <c r="AA34" s="235" t="n"/>
      <c r="AB34" s="261" t="n"/>
      <c r="AF34" s="235" t="n"/>
      <c r="AG34" s="262" t="n"/>
      <c r="AH34" s="235" t="n"/>
    </row>
    <row r="35" ht="12" customHeight="1">
      <c r="B35" s="200" t="n"/>
      <c r="C35" s="201" t="n"/>
      <c r="D35" s="201" t="n"/>
      <c r="E35" s="201" t="n"/>
      <c r="F35" s="201" t="n"/>
      <c r="G35" s="201" t="n"/>
      <c r="H35" s="201" t="n"/>
      <c r="I35" s="201" t="n"/>
      <c r="J35" s="201" t="n"/>
      <c r="K35" s="201" t="n"/>
      <c r="L35" s="201" t="n"/>
      <c r="M35" s="201" t="n"/>
      <c r="N35" s="201" t="n"/>
      <c r="O35" s="201" t="n"/>
      <c r="P35" s="201" t="n"/>
      <c r="Q35" s="201" t="n"/>
      <c r="R35" s="201" t="n"/>
      <c r="S35" s="201" t="n"/>
      <c r="T35" s="201" t="n"/>
      <c r="U35" s="201" t="n"/>
      <c r="V35" s="201" t="n"/>
      <c r="W35" s="201" t="n"/>
      <c r="X35" s="202" t="n"/>
      <c r="Y35" s="261" t="n"/>
      <c r="AA35" s="235" t="n"/>
      <c r="AB35" s="261" t="n"/>
      <c r="AF35" s="235" t="n"/>
      <c r="AG35" s="262" t="n"/>
      <c r="AH35" s="235" t="n"/>
    </row>
    <row r="36" ht="12" customHeight="1">
      <c r="B36" s="200" t="n"/>
      <c r="C36" s="201" t="n"/>
      <c r="D36" s="201" t="n"/>
      <c r="E36" s="201" t="n"/>
      <c r="F36" s="201" t="n"/>
      <c r="G36" s="201" t="n"/>
      <c r="H36" s="201" t="n"/>
      <c r="I36" s="201" t="n"/>
      <c r="J36" s="201" t="n"/>
      <c r="K36" s="201" t="n"/>
      <c r="L36" s="201" t="n"/>
      <c r="M36" s="201" t="n"/>
      <c r="N36" s="201" t="n"/>
      <c r="O36" s="201" t="n"/>
      <c r="P36" s="201" t="n"/>
      <c r="Q36" s="201" t="n"/>
      <c r="R36" s="201" t="n"/>
      <c r="S36" s="201" t="n"/>
      <c r="T36" s="201" t="n"/>
      <c r="U36" s="201" t="n"/>
      <c r="V36" s="201" t="n"/>
      <c r="W36" s="201" t="n"/>
      <c r="X36" s="202" t="n"/>
      <c r="Y36" s="261" t="n"/>
      <c r="AA36" s="235" t="n"/>
      <c r="AB36" s="261" t="n"/>
      <c r="AF36" s="235" t="n"/>
      <c r="AG36" s="262" t="n"/>
      <c r="AH36" s="235" t="n"/>
    </row>
    <row r="37" ht="12" customHeight="1">
      <c r="B37" s="200" t="n"/>
      <c r="C37" s="201" t="n"/>
      <c r="D37" s="201" t="n"/>
      <c r="E37" s="201" t="n"/>
      <c r="F37" s="201" t="n"/>
      <c r="G37" s="201" t="n"/>
      <c r="H37" s="201" t="n"/>
      <c r="I37" s="201" t="n"/>
      <c r="J37" s="201" t="n"/>
      <c r="K37" s="201" t="n"/>
      <c r="L37" s="201" t="n"/>
      <c r="M37" s="201" t="n"/>
      <c r="N37" s="201" t="n"/>
      <c r="O37" s="201" t="n"/>
      <c r="P37" s="201" t="n"/>
      <c r="Q37" s="201" t="n"/>
      <c r="R37" s="201" t="n"/>
      <c r="S37" s="201" t="n"/>
      <c r="T37" s="201" t="n"/>
      <c r="U37" s="201" t="n"/>
      <c r="V37" s="201" t="n"/>
      <c r="W37" s="201" t="n"/>
      <c r="X37" s="202" t="n"/>
      <c r="Y37" s="261" t="n"/>
      <c r="AA37" s="235" t="n"/>
      <c r="AB37" s="261" t="n"/>
      <c r="AF37" s="235" t="n"/>
      <c r="AG37" s="262" t="n"/>
      <c r="AH37" s="235" t="n"/>
    </row>
    <row r="38" ht="12" customHeight="1">
      <c r="B38" s="200" t="n"/>
      <c r="C38" s="201" t="n"/>
      <c r="D38" s="201" t="n"/>
      <c r="E38" s="201" t="n"/>
      <c r="F38" s="201" t="n"/>
      <c r="G38" s="201" t="n"/>
      <c r="H38" s="201" t="n"/>
      <c r="I38" s="201" t="n"/>
      <c r="J38" s="201" t="n"/>
      <c r="K38" s="201" t="n"/>
      <c r="L38" s="201" t="n"/>
      <c r="M38" s="201" t="n"/>
      <c r="N38" s="201" t="n"/>
      <c r="O38" s="201" t="n"/>
      <c r="P38" s="201" t="n"/>
      <c r="Q38" s="201" t="n"/>
      <c r="R38" s="201" t="n"/>
      <c r="S38" s="201" t="n"/>
      <c r="T38" s="201" t="n"/>
      <c r="U38" s="201" t="n"/>
      <c r="V38" s="201" t="n"/>
      <c r="W38" s="201" t="n"/>
      <c r="X38" s="202" t="n"/>
      <c r="Y38" s="261" t="n"/>
      <c r="AA38" s="235" t="n"/>
      <c r="AB38" s="261" t="n"/>
      <c r="AF38" s="235" t="n"/>
      <c r="AG38" s="262" t="n"/>
      <c r="AH38" s="235" t="n"/>
    </row>
    <row r="39" ht="12" customHeight="1">
      <c r="B39" s="200" t="n"/>
      <c r="C39" s="201" t="n"/>
      <c r="D39" s="201" t="n"/>
      <c r="E39" s="201" t="n"/>
      <c r="F39" s="201" t="n"/>
      <c r="G39" s="201" t="n"/>
      <c r="H39" s="201" t="n"/>
      <c r="I39" s="201" t="n"/>
      <c r="J39" s="201" t="n"/>
      <c r="K39" s="201" t="n"/>
      <c r="L39" s="201" t="n"/>
      <c r="M39" s="201" t="n"/>
      <c r="N39" s="201" t="n"/>
      <c r="O39" s="201" t="n"/>
      <c r="P39" s="201" t="n"/>
      <c r="Q39" s="201" t="n"/>
      <c r="R39" s="201" t="n"/>
      <c r="S39" s="201" t="n"/>
      <c r="T39" s="201" t="n"/>
      <c r="U39" s="201" t="n"/>
      <c r="V39" s="201" t="n"/>
      <c r="W39" s="201" t="n"/>
      <c r="X39" s="202" t="n"/>
      <c r="Y39" s="261" t="n"/>
      <c r="AA39" s="235" t="n"/>
      <c r="AB39" s="261" t="n"/>
      <c r="AF39" s="235" t="n"/>
      <c r="AG39" s="262" t="n"/>
      <c r="AH39" s="235" t="n"/>
    </row>
    <row r="40" ht="12" customHeight="1">
      <c r="B40" s="200" t="n"/>
      <c r="C40" s="201" t="n"/>
      <c r="D40" s="201" t="n"/>
      <c r="E40" s="201" t="n"/>
      <c r="F40" s="201" t="n"/>
      <c r="G40" s="201" t="n"/>
      <c r="H40" s="201" t="n"/>
      <c r="I40" s="201" t="n"/>
      <c r="J40" s="201" t="n"/>
      <c r="K40" s="201" t="n"/>
      <c r="L40" s="201" t="n"/>
      <c r="M40" s="201" t="n"/>
      <c r="N40" s="201" t="n"/>
      <c r="O40" s="201" t="n"/>
      <c r="P40" s="201" t="n"/>
      <c r="Q40" s="201" t="n"/>
      <c r="R40" s="201" t="n"/>
      <c r="S40" s="201" t="n"/>
      <c r="T40" s="201" t="n"/>
      <c r="U40" s="201" t="n"/>
      <c r="V40" s="201" t="n"/>
      <c r="W40" s="201" t="n"/>
      <c r="X40" s="202" t="n"/>
      <c r="Y40" s="261" t="n"/>
      <c r="AA40" s="235" t="n"/>
      <c r="AB40" s="261" t="n"/>
      <c r="AF40" s="235" t="n"/>
      <c r="AG40" s="262" t="n"/>
      <c r="AH40" s="235" t="n"/>
    </row>
    <row r="41" ht="12" customHeight="1">
      <c r="B41" s="203" t="n"/>
      <c r="C41" s="204" t="n"/>
      <c r="D41" s="204" t="n"/>
      <c r="E41" s="204" t="n"/>
      <c r="F41" s="204" t="n"/>
      <c r="G41" s="204" t="n"/>
      <c r="H41" s="204" t="n"/>
      <c r="I41" s="204" t="n"/>
      <c r="J41" s="204" t="n"/>
      <c r="K41" s="204" t="n"/>
      <c r="L41" s="204" t="n"/>
      <c r="M41" s="204" t="n"/>
      <c r="N41" s="204" t="n"/>
      <c r="O41" s="204" t="n"/>
      <c r="P41" s="204" t="n"/>
      <c r="Q41" s="204" t="n"/>
      <c r="R41" s="204" t="n"/>
      <c r="S41" s="204" t="n"/>
      <c r="T41" s="204" t="n"/>
      <c r="U41" s="204" t="n"/>
      <c r="V41" s="204" t="n"/>
      <c r="W41" s="204" t="n"/>
      <c r="X41" s="205" t="n"/>
      <c r="Y41" s="263" t="n"/>
      <c r="Z41" s="237" t="n"/>
      <c r="AA41" s="238" t="n"/>
      <c r="AB41" s="263" t="n"/>
      <c r="AC41" s="237" t="n"/>
      <c r="AD41" s="237" t="n"/>
      <c r="AE41" s="237" t="n"/>
      <c r="AF41" s="238" t="n"/>
      <c r="AG41" s="86" t="n"/>
      <c r="AH41" s="238" t="n"/>
    </row>
    <row r="42" ht="12" customHeight="1"/>
    <row r="43" ht="12" customHeight="1"/>
    <row r="44" ht="12" customHeight="1"/>
  </sheetData>
  <mergeCells count="116">
    <mergeCell ref="F5:H5"/>
    <mergeCell ref="S1:Z3"/>
    <mergeCell ref="O15:P15"/>
    <mergeCell ref="D24:J24"/>
    <mergeCell ref="AG41:AH41"/>
    <mergeCell ref="Y40:AA40"/>
    <mergeCell ref="AB41:AF41"/>
    <mergeCell ref="AB35:AF35"/>
    <mergeCell ref="B27:X27"/>
    <mergeCell ref="Q13:T13"/>
    <mergeCell ref="AG27:AH27"/>
    <mergeCell ref="B19:AH19"/>
    <mergeCell ref="AB27:AF27"/>
    <mergeCell ref="B17:I17"/>
    <mergeCell ref="AB36:AF36"/>
    <mergeCell ref="O16:P16"/>
    <mergeCell ref="Q17:AH17"/>
    <mergeCell ref="U13:AH13"/>
    <mergeCell ref="S24:W24"/>
    <mergeCell ref="F13:P13"/>
    <mergeCell ref="B24:C24"/>
    <mergeCell ref="O17:P17"/>
    <mergeCell ref="B13:E13"/>
    <mergeCell ref="AA2:AB2"/>
    <mergeCell ref="O1:R3"/>
    <mergeCell ref="A2:D2"/>
    <mergeCell ref="Y39:AA39"/>
    <mergeCell ref="Y30:AA30"/>
    <mergeCell ref="L15:N15"/>
    <mergeCell ref="AG2:AI2"/>
    <mergeCell ref="S25:W25"/>
    <mergeCell ref="AG29:AH29"/>
    <mergeCell ref="Y29:AA29"/>
    <mergeCell ref="B25:C25"/>
    <mergeCell ref="K25:O25"/>
    <mergeCell ref="AG38:AH38"/>
    <mergeCell ref="L18:N18"/>
    <mergeCell ref="B22:I22"/>
    <mergeCell ref="AC2:AF2"/>
    <mergeCell ref="AG31:AH31"/>
    <mergeCell ref="Y31:AA31"/>
    <mergeCell ref="B23:AH23"/>
    <mergeCell ref="AG40:AH40"/>
    <mergeCell ref="AB32:AF32"/>
    <mergeCell ref="B21:I21"/>
    <mergeCell ref="AB40:AF40"/>
    <mergeCell ref="Y28:AA28"/>
    <mergeCell ref="Y37:AA37"/>
    <mergeCell ref="Z5:AH5"/>
    <mergeCell ref="AG32:AH32"/>
    <mergeCell ref="Y32:AA32"/>
    <mergeCell ref="Y41:AA41"/>
    <mergeCell ref="B7:AH12"/>
    <mergeCell ref="AG1:AI1"/>
    <mergeCell ref="AG33:AH33"/>
    <mergeCell ref="M5:U5"/>
    <mergeCell ref="AB34:AF34"/>
    <mergeCell ref="AB28:AF28"/>
    <mergeCell ref="AB37:AF37"/>
    <mergeCell ref="AC1:AF1"/>
    <mergeCell ref="E2:N2"/>
    <mergeCell ref="AG35:AH35"/>
    <mergeCell ref="Y35:AA35"/>
    <mergeCell ref="I5:L5"/>
    <mergeCell ref="AB30:AF30"/>
    <mergeCell ref="N21:AH21"/>
    <mergeCell ref="AG34:AH34"/>
    <mergeCell ref="D25:J25"/>
    <mergeCell ref="AB29:AF29"/>
    <mergeCell ref="B14:AH14"/>
    <mergeCell ref="Q15:AH15"/>
    <mergeCell ref="AG3:AI3"/>
    <mergeCell ref="A1:D1"/>
    <mergeCell ref="J16:K16"/>
    <mergeCell ref="AC3:AF3"/>
    <mergeCell ref="AB38:AF38"/>
    <mergeCell ref="L17:N17"/>
    <mergeCell ref="E1:N1"/>
    <mergeCell ref="Y38:AA38"/>
    <mergeCell ref="Q16:AH16"/>
    <mergeCell ref="P25:R25"/>
    <mergeCell ref="B15:I15"/>
    <mergeCell ref="N20:AH20"/>
    <mergeCell ref="Q18:AH18"/>
    <mergeCell ref="AB33:AF33"/>
    <mergeCell ref="N22:AH22"/>
    <mergeCell ref="B16:I16"/>
    <mergeCell ref="K24:O24"/>
    <mergeCell ref="AA1:AB1"/>
    <mergeCell ref="O18:P18"/>
    <mergeCell ref="B5:E5"/>
    <mergeCell ref="Y34:AA34"/>
    <mergeCell ref="B18:I18"/>
    <mergeCell ref="J15:K15"/>
    <mergeCell ref="Y27:AA27"/>
    <mergeCell ref="E3:N3"/>
    <mergeCell ref="AG36:AH36"/>
    <mergeCell ref="Y36:AA36"/>
    <mergeCell ref="AB31:AF31"/>
    <mergeCell ref="V5:Y5"/>
    <mergeCell ref="Y33:AA33"/>
    <mergeCell ref="P24:R24"/>
    <mergeCell ref="AB39:AF39"/>
    <mergeCell ref="X24:AH24"/>
    <mergeCell ref="B6:AH6"/>
    <mergeCell ref="AG28:AH28"/>
    <mergeCell ref="AG37:AH37"/>
    <mergeCell ref="AA3:AB3"/>
    <mergeCell ref="L16:N16"/>
    <mergeCell ref="AG30:AH30"/>
    <mergeCell ref="AG39:AH39"/>
    <mergeCell ref="B20:I20"/>
    <mergeCell ref="A3:D3"/>
    <mergeCell ref="J18:K18"/>
    <mergeCell ref="X25:AH25"/>
    <mergeCell ref="J17:K17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2017-03-23T01:33:30Z</dcterms:created>
  <dcterms:modified xmlns:dcterms="http://purl.org/dc/terms/" xmlns:xsi="http://www.w3.org/2001/XMLSchema-instance" xsi:type="dcterms:W3CDTF">2026-07-03T08:56:09Z</dcterms:modified>
</cp:coreProperties>
</file>